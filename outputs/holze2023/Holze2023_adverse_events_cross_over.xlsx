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746d5aca6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table_S8" sheetId="1" r:id="Rb05a4cf4166d41a5"/>
    <x:sheet xmlns:r="http://schemas.openxmlformats.org/officeDocument/2006/relationships" name="Derived_windows" sheetId="2" r:id="Reec63d57d2bb4692"/>
    <x:sheet xmlns:r="http://schemas.openxmlformats.org/officeDocument/2006/relationships" name="Data_v5_format" sheetId="3" r:id="R115c9106af3049fb"/>
    <x:sheet xmlns:r="http://schemas.openxmlformats.org/officeDocument/2006/relationships" name="Checks" sheetId="4" r:id="Rcd7fe2f880894734"/>
    <x:sheet xmlns:r="http://schemas.openxmlformats.org/officeDocument/2006/relationships" name="Notes" sheetId="5" r:id="Rec41fcccef544e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b/>
      <x:sz val="13"/>
      <x:color rgb="FFFFFF"/>
      <x:name val="Carlito"/>
    </x:font>
    <x:font>
      <x:b/>
      <x:sz val="11"/>
      <x:color rgb="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D9EAF7"/>
      </x:patternFill>
    </x:fill>
  </x:fills>
  <x:borders count="13">
    <x:border/>
    <x:border>
      <x:left style="thin">
        <x:color rgb="9EADBD"/>
      </x:left>
      <x:top style="thin">
        <x:color rgb="9EADBD"/>
      </x:top>
      <x:bottom style="thin">
        <x:color rgb="9EADBD"/>
      </x:bottom>
    </x:border>
    <x:border>
      <x:top style="thin">
        <x:color rgb="9EADBD"/>
      </x:top>
      <x:bottom style="thin">
        <x:color rgb="9EADBD"/>
      </x:bottom>
    </x:border>
    <x:border>
      <x:right style="thin">
        <x:color rgb="9EADBD"/>
      </x:right>
      <x:top style="thin">
        <x:color rgb="9EADBD"/>
      </x:top>
      <x:bottom style="thin">
        <x:color rgb="9EADBD"/>
      </x:bottom>
    </x:border>
    <x:border>
      <x:left style="thin">
        <x:color rgb="9EADBD"/>
      </x:left>
      <x:right style="thin">
        <x:color rgb="D5DCE5"/>
      </x:right>
      <x:top style="thin">
        <x:color rgb="9EADBD"/>
      </x:top>
      <x:bottom style="thin">
        <x:color rgb="D5DCE5"/>
      </x:bottom>
    </x:border>
    <x:border>
      <x:left style="thin">
        <x:color rgb="D5DCE5"/>
      </x:left>
      <x:right style="thin">
        <x:color rgb="D5DCE5"/>
      </x:right>
      <x:top style="thin">
        <x:color rgb="9EADBD"/>
      </x:top>
      <x:bottom style="thin">
        <x:color rgb="D5DCE5"/>
      </x:bottom>
    </x:border>
    <x:border>
      <x:left style="thin">
        <x:color rgb="D5DCE5"/>
      </x:left>
      <x:top style="thin">
        <x:color rgb="9EADBD"/>
      </x:top>
      <x:bottom style="thin">
        <x:color rgb="D5DCE5"/>
      </x:bottom>
    </x:border>
    <x:border>
      <x:left style="thin">
        <x:color rgb="9EADBD"/>
      </x:left>
      <x:right style="thin">
        <x:color rgb="D5DCE5"/>
      </x:right>
      <x:top style="thin">
        <x:color rgb="D5DCE5"/>
      </x:top>
      <x:bottom style="thin">
        <x:color rgb="D5DCE5"/>
      </x:bottom>
    </x:border>
    <x:border>
      <x:left style="thin">
        <x:color rgb="D5DCE5"/>
      </x:left>
      <x:right style="thin">
        <x:color rgb="D5DCE5"/>
      </x:right>
      <x:top style="thin">
        <x:color rgb="D5DCE5"/>
      </x:top>
      <x:bottom style="thin">
        <x:color rgb="D5DCE5"/>
      </x:bottom>
    </x:border>
    <x:border>
      <x:left style="thin">
        <x:color rgb="D5DCE5"/>
      </x:left>
      <x:top style="thin">
        <x:color rgb="D5DCE5"/>
      </x:top>
      <x:bottom style="thin">
        <x:color rgb="D5DCE5"/>
      </x:bottom>
    </x:border>
    <x:border>
      <x:left style="thin">
        <x:color rgb="9EADBD"/>
      </x:left>
      <x:right style="thin">
        <x:color rgb="D5DCE5"/>
      </x:right>
      <x:top style="thin">
        <x:color rgb="D5DCE5"/>
      </x:top>
      <x:bottom style="thin">
        <x:color rgb="9EADBD"/>
      </x:bottom>
    </x:border>
    <x:border>
      <x:left style="thin">
        <x:color rgb="D5DCE5"/>
      </x:left>
      <x:right style="thin">
        <x:color rgb="D5DCE5"/>
      </x:right>
      <x:top style="thin">
        <x:color rgb="D5DCE5"/>
      </x:top>
      <x:bottom style="thin">
        <x:color rgb="9EADBD"/>
      </x:bottom>
    </x:border>
    <x:border>
      <x:left style="thin">
        <x:color rgb="D5DCE5"/>
      </x:left>
      <x:top style="thin">
        <x:color rgb="D5DCE5"/>
      </x:top>
      <x:bottom style="thin">
        <x:color rgb="9EADBD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476d9355f4b76" /><Relationship Type="http://schemas.openxmlformats.org/officeDocument/2006/relationships/theme" Target="/xl/theme/theme1.xml" Id="R5f7fbac88d87455c" /><Relationship Type="http://schemas.openxmlformats.org/officeDocument/2006/relationships/sharedStrings" Target="/xl/sharedStrings.xml" Id="R7bc380e4cb4e471a" /><Relationship Type="http://schemas.openxmlformats.org/officeDocument/2006/relationships/worksheet" Target="/xl/worksheets/sheet1.xml" Id="Rb05a4cf4166d41a5" /><Relationship Type="http://schemas.openxmlformats.org/officeDocument/2006/relationships/worksheet" Target="/xl/worksheets/sheet2.xml" Id="Reec63d57d2bb4692" /><Relationship Type="http://schemas.openxmlformats.org/officeDocument/2006/relationships/worksheet" Target="/xl/worksheets/sheet3.xml" Id="R115c9106af3049fb" /><Relationship Type="http://schemas.openxmlformats.org/officeDocument/2006/relationships/worksheet" Target="/xl/worksheets/sheet4.xml" Id="Rcd7fe2f880894734" /><Relationship Type="http://schemas.openxmlformats.org/officeDocument/2006/relationships/worksheet" Target="/xl/worksheets/sheet5.xml" Id="Rec41fcccef544e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610000610351562" hidden="0" customWidth="1"/>
    <x:col min="2" max="2" width="30.059999465942383" hidden="0" customWidth="1"/>
    <x:col min="3" max="3" width="9.819999694824219" hidden="0" customWidth="1"/>
    <x:col min="4" max="4" width="9.819999694824219" hidden="0" customWidth="1"/>
    <x:col min="5" max="5" width="9.819999694824219" hidden="0" customWidth="1"/>
    <x:col min="6" max="6" width="9.819999694824219" hidden="0" customWidth="1"/>
    <x:col min="7" max="7" width="9.819999694824219" hidden="0" customWidth="1"/>
    <x:col min="8" max="8" width="9.819999694824219" hidden="0" customWidth="1"/>
    <x:col min="9" max="9" width="9.819999694824219" hidden="0" customWidth="1"/>
    <x:col min="10" max="10" width="9.819999694824219" hidden="0" customWidth="1"/>
    <x:col min="11" max="11" width="9.819999694824219" hidden="0" customWidth="1"/>
    <x:col min="12" max="12" width="9.819999694824219" hidden="0" customWidth="1"/>
    <x:col min="13" max="13" width="9.819999694824219" hidden="0" customWidth="1"/>
    <x:col min="14" max="14" width="9.819999694824219" hidden="0" customWidth="1"/>
    <x:col min="15" max="15" width="9.819999694824219" hidden="0" customWidth="1"/>
  </x:cols>
  <x:sheetData>
    <x:row r="1">
      <x:c r="A1" s="4" t="str">
        <x:v>Holze 2023 - Table S8 adverse events (manual transcription from screenshot)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t="str">
        <x:v>Source note: Between = between sessions/week 5; W2 = week 2/week 10 in the screenshot footnote.</x:v>
      </x:c>
    </x:row>
    <x:row r="3">
      <x:c r="A3" s="19" t="str">
        <x:v>section</x:v>
      </x:c>
      <x:c r="B3" s="20" t="str">
        <x:v>ae_term</x:v>
      </x:c>
      <x:c r="C3" s="20" t="str">
        <x:v>reported_total_n</x:v>
      </x:c>
      <x:c r="D3" s="20" t="str">
        <x:v>p1_lsd_total</x:v>
      </x:c>
      <x:c r="E3" s="20" t="str">
        <x:v>p1_lsd_between</x:v>
      </x:c>
      <x:c r="F3" s="20" t="str">
        <x:v>p1_lsd_w2</x:v>
      </x:c>
      <x:c r="G3" s="20" t="str">
        <x:v>p1_placebo_total</x:v>
      </x:c>
      <x:c r="H3" s="20" t="str">
        <x:v>p1_placebo_between</x:v>
      </x:c>
      <x:c r="I3" s="20" t="str">
        <x:v>p1_placebo_w2</x:v>
      </x:c>
      <x:c r="J3" s="20" t="str">
        <x:v>p2_lsd_total</x:v>
      </x:c>
      <x:c r="K3" s="20" t="str">
        <x:v>p2_lsd_between</x:v>
      </x:c>
      <x:c r="L3" s="20" t="str">
        <x:v>p2_lsd_w2</x:v>
      </x:c>
      <x:c r="M3" s="20" t="str">
        <x:v>p2_placebo_total</x:v>
      </x:c>
      <x:c r="N3" s="20" t="str">
        <x:v>p2_placebo_between</x:v>
      </x:c>
      <x:c r="O3" s="21" t="str">
        <x:v>p2_placebo_w2</x:v>
      </x:c>
    </x:row>
    <x:row r="4">
      <x:c r="A4" s="28" t="str">
        <x:v>Psychiatric</x:v>
      </x:c>
      <x:c r="B4" s="29" t="str">
        <x:v>Insomnia</x:v>
      </x:c>
      <x:c r="C4" s="29" t="n">
        <x:v>7</x:v>
      </x:c>
      <x:c r="D4" s="29" t="n">
        <x:v>1</x:v>
      </x:c>
      <x:c r="E4" s="29" t="n">
        <x:v>0</x:v>
      </x:c>
      <x:c r="F4" s="29" t="n">
        <x:v>0</x:v>
      </x:c>
      <x:c r="G4" s="29" t="n">
        <x:v>2</x:v>
      </x:c>
      <x:c r="H4" s="29" t="n">
        <x:v>0</x:v>
      </x:c>
      <x:c r="I4" s="29" t="n">
        <x:v>0</x:v>
      </x:c>
      <x:c r="J4" s="29" t="n">
        <x:v>2</x:v>
      </x:c>
      <x:c r="K4" s="29" t="n">
        <x:v>0</x:v>
      </x:c>
      <x:c r="L4" s="29" t="n">
        <x:v>0</x:v>
      </x:c>
      <x:c r="M4" s="29" t="n">
        <x:v>2</x:v>
      </x:c>
      <x:c r="N4" s="29" t="n">
        <x:v>1</x:v>
      </x:c>
      <x:c r="O4" s="30" t="n">
        <x:v>0</x:v>
      </x:c>
    </x:row>
    <x:row r="5">
      <x:c r="A5" s="28" t="str">
        <x:v>Psychiatric</x:v>
      </x:c>
      <x:c r="B5" s="29" t="str">
        <x:v>Depression</x:v>
      </x:c>
      <x:c r="C5" s="29" t="n">
        <x:v>3</x:v>
      </x:c>
      <x:c r="D5" s="29" t="n">
        <x:v>2</x:v>
      </x:c>
      <x:c r="E5" s="29" t="n">
        <x:v>0</x:v>
      </x:c>
      <x:c r="F5" s="29" t="n">
        <x:v>0</x:v>
      </x:c>
      <x:c r="G5" s="29" t="n">
        <x:v>0</x:v>
      </x:c>
      <x:c r="H5" s="29" t="n">
        <x:v>0</x:v>
      </x:c>
      <x:c r="I5" s="29" t="n">
        <x:v>0</x:v>
      </x:c>
      <x:c r="J5" s="29" t="n">
        <x:v>0</x:v>
      </x:c>
      <x:c r="K5" s="29" t="n">
        <x:v>0</x:v>
      </x:c>
      <x:c r="L5" s="29" t="n">
        <x:v>0</x:v>
      </x:c>
      <x:c r="M5" s="29" t="n">
        <x:v>1</x:v>
      </x:c>
      <x:c r="N5" s="29" t="n">
        <x:v>0</x:v>
      </x:c>
      <x:c r="O5" s="30" t="n">
        <x:v>0</x:v>
      </x:c>
    </x:row>
    <x:row r="6">
      <x:c r="A6" s="28" t="str">
        <x:v>Psychiatric</x:v>
      </x:c>
      <x:c r="B6" s="29" t="str">
        <x:v>Anxiety attack</x:v>
      </x:c>
      <x:c r="C6" s="29" t="n">
        <x:v>2</x:v>
      </x:c>
      <x:c r="D6" s="29" t="n">
        <x:v>1</x:v>
      </x:c>
      <x:c r="E6" s="29" t="n">
        <x:v>0</x:v>
      </x:c>
      <x:c r="F6" s="29" t="n">
        <x:v>0</x:v>
      </x:c>
      <x:c r="G6" s="29" t="n">
        <x:v>0</x:v>
      </x:c>
      <x:c r="H6" s="29" t="n">
        <x:v>0</x:v>
      </x:c>
      <x:c r="I6" s="29" t="n">
        <x:v>0</x:v>
      </x:c>
      <x:c r="J6" s="29" t="n">
        <x:v>1</x:v>
      </x:c>
      <x:c r="K6" s="29" t="n">
        <x:v>0</x:v>
      </x:c>
      <x:c r="L6" s="29" t="n">
        <x:v>0</x:v>
      </x:c>
      <x:c r="M6" s="29" t="n">
        <x:v>0</x:v>
      </x:c>
      <x:c r="N6" s="29" t="n">
        <x:v>0</x:v>
      </x:c>
      <x:c r="O6" s="30" t="n">
        <x:v>0</x:v>
      </x:c>
    </x:row>
    <x:row r="7">
      <x:c r="A7" s="28" t="str">
        <x:v>Psychiatric</x:v>
      </x:c>
      <x:c r="B7" s="29" t="str">
        <x:v>Compulsive thoughts</x:v>
      </x:c>
      <x:c r="C7" s="29" t="n">
        <x:v>1</x:v>
      </x:c>
      <x:c r="D7" s="29" t="n">
        <x:v>1</x:v>
      </x:c>
      <x:c r="E7" s="29" t="n">
        <x:v>0</x:v>
      </x:c>
      <x:c r="F7" s="29" t="n">
        <x:v>0</x:v>
      </x:c>
      <x:c r="G7" s="29" t="n">
        <x:v>0</x:v>
      </x:c>
      <x:c r="H7" s="29" t="n">
        <x:v>0</x:v>
      </x:c>
      <x:c r="I7" s="29" t="n">
        <x:v>0</x:v>
      </x:c>
      <x:c r="J7" s="29" t="n">
        <x:v>0</x:v>
      </x:c>
      <x:c r="K7" s="29" t="n">
        <x:v>0</x:v>
      </x:c>
      <x:c r="L7" s="29" t="n">
        <x:v>0</x:v>
      </x:c>
      <x:c r="M7" s="29" t="n">
        <x:v>0</x:v>
      </x:c>
      <x:c r="N7" s="29" t="n">
        <x:v>0</x:v>
      </x:c>
      <x:c r="O7" s="30" t="n">
        <x:v>0</x:v>
      </x:c>
    </x:row>
    <x:row r="8">
      <x:c r="A8" s="28" t="str">
        <x:v>Psychiatric</x:v>
      </x:c>
      <x:c r="B8" s="29" t="str">
        <x:v>Confusion</x:v>
      </x:c>
      <x:c r="C8" s="29" t="n">
        <x:v>1</x:v>
      </x:c>
      <x:c r="D8" s="29" t="n">
        <x:v>0</x:v>
      </x:c>
      <x:c r="E8" s="29" t="n">
        <x:v>0</x:v>
      </x:c>
      <x:c r="F8" s="29" t="n">
        <x:v>0</x:v>
      </x:c>
      <x:c r="G8" s="29" t="n">
        <x:v>1</x:v>
      </x:c>
      <x:c r="H8" s="29" t="n">
        <x:v>1</x:v>
      </x:c>
      <x:c r="I8" s="29" t="n">
        <x:v>0</x:v>
      </x:c>
      <x:c r="J8" s="29" t="n">
        <x:v>0</x:v>
      </x:c>
      <x:c r="K8" s="29" t="n">
        <x:v>0</x:v>
      </x:c>
      <x:c r="L8" s="29" t="n">
        <x:v>0</x:v>
      </x:c>
      <x:c r="M8" s="29" t="n">
        <x:v>0</x:v>
      </x:c>
      <x:c r="N8" s="29" t="n">
        <x:v>0</x:v>
      </x:c>
      <x:c r="O8" s="30" t="n">
        <x:v>0</x:v>
      </x:c>
    </x:row>
    <x:row r="9">
      <x:c r="A9" s="28" t="str">
        <x:v>Psychiatric</x:v>
      </x:c>
      <x:c r="B9" s="29" t="str">
        <x:v>Restlessness</x:v>
      </x:c>
      <x:c r="C9" s="29" t="n">
        <x:v>1</x:v>
      </x:c>
      <x:c r="D9" s="29" t="n">
        <x:v>1</x:v>
      </x:c>
      <x:c r="E9" s="29" t="n">
        <x:v>0</x:v>
      </x:c>
      <x:c r="F9" s="29" t="n">
        <x:v>0</x:v>
      </x:c>
      <x:c r="G9" s="29" t="n">
        <x:v>0</x:v>
      </x:c>
      <x:c r="H9" s="29" t="n">
        <x:v>0</x:v>
      </x:c>
      <x:c r="I9" s="29" t="n">
        <x:v>0</x:v>
      </x:c>
      <x:c r="J9" s="29" t="n">
        <x:v>0</x:v>
      </x:c>
      <x:c r="K9" s="29" t="n">
        <x:v>0</x:v>
      </x:c>
      <x:c r="L9" s="29" t="n">
        <x:v>0</x:v>
      </x:c>
      <x:c r="M9" s="29" t="n">
        <x:v>0</x:v>
      </x:c>
      <x:c r="N9" s="29" t="n">
        <x:v>0</x:v>
      </x:c>
      <x:c r="O9" s="30" t="n">
        <x:v>0</x:v>
      </x:c>
    </x:row>
    <x:row r="10">
      <x:c r="A10" s="28" t="str">
        <x:v>Psychiatric</x:v>
      </x:c>
      <x:c r="B10" s="29" t="str">
        <x:v>Psychosomatic complaints</x:v>
      </x:c>
      <x:c r="C10" s="29" t="n">
        <x:v>1</x:v>
      </x:c>
      <x:c r="D10" s="29" t="n">
        <x:v>0</x:v>
      </x:c>
      <x:c r="E10" s="29" t="n">
        <x:v>0</x:v>
      </x:c>
      <x:c r="F10" s="29" t="n">
        <x:v>0</x:v>
      </x:c>
      <x:c r="G10" s="29" t="n">
        <x:v>1</x:v>
      </x:c>
      <x:c r="H10" s="29" t="n">
        <x:v>1</x:v>
      </x:c>
      <x:c r="I10" s="29" t="n">
        <x:v>0</x:v>
      </x:c>
      <x:c r="J10" s="29" t="n">
        <x:v>0</x:v>
      </x:c>
      <x:c r="K10" s="29" t="n">
        <x:v>0</x:v>
      </x:c>
      <x:c r="L10" s="29" t="n">
        <x:v>0</x:v>
      </x:c>
      <x:c r="M10" s="29" t="n">
        <x:v>0</x:v>
      </x:c>
      <x:c r="N10" s="29" t="n">
        <x:v>0</x:v>
      </x:c>
      <x:c r="O10" s="30" t="n">
        <x:v>0</x:v>
      </x:c>
    </x:row>
    <x:row r="11">
      <x:c r="A11" s="28" t="str">
        <x:v>Psychiatric</x:v>
      </x:c>
      <x:c r="B11" s="29" t="str">
        <x:v>Depression, suicidal thoughts</x:v>
      </x:c>
      <x:c r="C11" s="29" t="n">
        <x:v>1</x:v>
      </x:c>
      <x:c r="D11" s="29" t="n">
        <x:v>0</x:v>
      </x:c>
      <x:c r="E11" s="29" t="n">
        <x:v>0</x:v>
      </x:c>
      <x:c r="F11" s="29" t="n">
        <x:v>0</x:v>
      </x:c>
      <x:c r="G11" s="29" t="n">
        <x:v>0</x:v>
      </x:c>
      <x:c r="H11" s="29" t="n">
        <x:v>0</x:v>
      </x:c>
      <x:c r="I11" s="29" t="n">
        <x:v>0</x:v>
      </x:c>
      <x:c r="J11" s="29" t="n">
        <x:v>1</x:v>
      </x:c>
      <x:c r="K11" s="29" t="n">
        <x:v>0</x:v>
      </x:c>
      <x:c r="L11" s="29" t="n">
        <x:v>0</x:v>
      </x:c>
      <x:c r="M11" s="29" t="n">
        <x:v>0</x:v>
      </x:c>
      <x:c r="N11" s="29" t="n">
        <x:v>0</x:v>
      </x:c>
      <x:c r="O11" s="30" t="n">
        <x:v>0</x:v>
      </x:c>
    </x:row>
    <x:row r="12">
      <x:c r="A12" s="28" t="str">
        <x:v>Psychiatric</x:v>
      </x:c>
      <x:c r="B12" s="29" t="str">
        <x:v>Nightmares</x:v>
      </x:c>
      <x:c r="C12" s="29" t="n">
        <x:v>1</x:v>
      </x:c>
      <x:c r="D12" s="29" t="n">
        <x:v>0</x:v>
      </x:c>
      <x:c r="E12" s="29" t="n">
        <x:v>0</x:v>
      </x:c>
      <x:c r="F12" s="29" t="n">
        <x:v>0</x:v>
      </x:c>
      <x:c r="G12" s="29" t="n">
        <x:v>0</x:v>
      </x:c>
      <x:c r="H12" s="29" t="n">
        <x:v>0</x:v>
      </x:c>
      <x:c r="I12" s="29" t="n">
        <x:v>0</x:v>
      </x:c>
      <x:c r="J12" s="29" t="n">
        <x:v>1</x:v>
      </x:c>
      <x:c r="K12" s="29" t="n">
        <x:v>0</x:v>
      </x:c>
      <x:c r="L12" s="29" t="n">
        <x:v>0</x:v>
      </x:c>
      <x:c r="M12" s="29" t="n">
        <x:v>0</x:v>
      </x:c>
      <x:c r="N12" s="29" t="n">
        <x:v>0</x:v>
      </x:c>
      <x:c r="O12" s="30" t="n">
        <x:v>0</x:v>
      </x:c>
    </x:row>
    <x:row r="13">
      <x:c r="A13" s="28" t="str">
        <x:v>Due to underlying life-threatening illness</x:v>
      </x:c>
      <x:c r="B13" s="29" t="str">
        <x:v>Tumorrelapse</x:v>
      </x:c>
      <x:c r="C13" s="29" t="n">
        <x:v>1</x:v>
      </x:c>
      <x:c r="D13" s="29" t="n">
        <x:v>0</x:v>
      </x:c>
      <x:c r="E13" s="29" t="n">
        <x:v>0</x:v>
      </x:c>
      <x:c r="F13" s="29" t="n">
        <x:v>0</x:v>
      </x:c>
      <x:c r="G13" s="29" t="n">
        <x:v>1</x:v>
      </x:c>
      <x:c r="H13" s="29" t="n">
        <x:v>1</x:v>
      </x:c>
      <x:c r="I13" s="29" t="n">
        <x:v>0</x:v>
      </x:c>
      <x:c r="J13" s="29" t="n">
        <x:v>0</x:v>
      </x:c>
      <x:c r="K13" s="29" t="n">
        <x:v>0</x:v>
      </x:c>
      <x:c r="L13" s="29" t="n">
        <x:v>0</x:v>
      </x:c>
      <x:c r="M13" s="29" t="n">
        <x:v>0</x:v>
      </x:c>
      <x:c r="N13" s="29" t="n">
        <x:v>0</x:v>
      </x:c>
      <x:c r="O13" s="30" t="n">
        <x:v>0</x:v>
      </x:c>
    </x:row>
    <x:row r="14">
      <x:c r="A14" s="28" t="str">
        <x:v>Due to underlying life-threatening illness</x:v>
      </x:c>
      <x:c r="B14" s="29" t="str">
        <x:v>Rejection reaction</x:v>
      </x:c>
      <x:c r="C14" s="29" t="n">
        <x:v>1</x:v>
      </x:c>
      <x:c r="D14" s="29" t="n">
        <x:v>0</x:v>
      </x:c>
      <x:c r="E14" s="29" t="n">
        <x:v>0</x:v>
      </x:c>
      <x:c r="F14" s="29" t="n">
        <x:v>0</x:v>
      </x:c>
      <x:c r="G14" s="29" t="n">
        <x:v>0</x:v>
      </x:c>
      <x:c r="H14" s="29" t="n">
        <x:v>0</x:v>
      </x:c>
      <x:c r="I14" s="29" t="n">
        <x:v>0</x:v>
      </x:c>
      <x:c r="J14" s="29" t="n">
        <x:v>0</x:v>
      </x:c>
      <x:c r="K14" s="29" t="n">
        <x:v>0</x:v>
      </x:c>
      <x:c r="L14" s="29" t="n">
        <x:v>0</x:v>
      </x:c>
      <x:c r="M14" s="29" t="n">
        <x:v>1</x:v>
      </x:c>
      <x:c r="N14" s="29" t="n">
        <x:v>0</x:v>
      </x:c>
      <x:c r="O14" s="30" t="n">
        <x:v>0</x:v>
      </x:c>
    </x:row>
    <x:row r="15">
      <x:c r="A15" s="28" t="str">
        <x:v>Due to underlying life-threatening illness</x:v>
      </x:c>
      <x:c r="B15" s="29" t="str">
        <x:v>Tumorprogression</x:v>
      </x:c>
      <x:c r="C15" s="29" t="n">
        <x:v>1</x:v>
      </x:c>
      <x:c r="D15" s="29" t="n">
        <x:v>0</x:v>
      </x:c>
      <x:c r="E15" s="29" t="n">
        <x:v>0</x:v>
      </x:c>
      <x:c r="F15" s="29" t="n">
        <x:v>0</x:v>
      </x:c>
      <x:c r="G15" s="29" t="n">
        <x:v>1</x:v>
      </x:c>
      <x:c r="H15" s="29" t="n">
        <x:v>0</x:v>
      </x:c>
      <x:c r="I15" s="29" t="n">
        <x:v>1</x:v>
      </x:c>
      <x:c r="J15" s="29" t="n">
        <x:v>0</x:v>
      </x:c>
      <x:c r="K15" s="29" t="n">
        <x:v>0</x:v>
      </x:c>
      <x:c r="L15" s="29" t="n">
        <x:v>0</x:v>
      </x:c>
      <x:c r="M15" s="29" t="n">
        <x:v>0</x:v>
      </x:c>
      <x:c r="N15" s="29" t="n">
        <x:v>0</x:v>
      </x:c>
      <x:c r="O15" s="30" t="n">
        <x:v>0</x:v>
      </x:c>
    </x:row>
    <x:row r="16">
      <x:c r="A16" s="28" t="str">
        <x:v>Due to underlying life-threatening illness</x:v>
      </x:c>
      <x:c r="B16" s="29" t="str">
        <x:v>Polyneuropathy</x:v>
      </x:c>
      <x:c r="C16" s="29" t="n">
        <x:v>1</x:v>
      </x:c>
      <x:c r="D16" s="29" t="n">
        <x:v>0</x:v>
      </x:c>
      <x:c r="E16" s="29" t="n">
        <x:v>0</x:v>
      </x:c>
      <x:c r="F16" s="29" t="n">
        <x:v>0</x:v>
      </x:c>
      <x:c r="G16" s="29" t="n">
        <x:v>1</x:v>
      </x:c>
      <x:c r="H16" s="29" t="n">
        <x:v>0</x:v>
      </x:c>
      <x:c r="I16" s="29" t="n">
        <x:v>0</x:v>
      </x:c>
      <x:c r="J16" s="29" t="n">
        <x:v>0</x:v>
      </x:c>
      <x:c r="K16" s="29" t="n">
        <x:v>0</x:v>
      </x:c>
      <x:c r="L16" s="29" t="n">
        <x:v>0</x:v>
      </x:c>
      <x:c r="M16" s="29" t="n">
        <x:v>0</x:v>
      </x:c>
      <x:c r="N16" s="29" t="n">
        <x:v>0</x:v>
      </x:c>
      <x:c r="O16" s="30" t="n">
        <x:v>0</x:v>
      </x:c>
    </x:row>
    <x:row r="17">
      <x:c r="A17" s="28" t="str">
        <x:v>Due to underlying life-threatening illness</x:v>
      </x:c>
      <x:c r="B17" s="29" t="str">
        <x:v>Hemoglobin decrease</x:v>
      </x:c>
      <x:c r="C17" s="29" t="n">
        <x:v>1</x:v>
      </x:c>
      <x:c r="D17" s="29" t="n">
        <x:v>0</x:v>
      </x:c>
      <x:c r="E17" s="29" t="n">
        <x:v>0</x:v>
      </x:c>
      <x:c r="F17" s="29" t="n">
        <x:v>0</x:v>
      </x:c>
      <x:c r="G17" s="29" t="n">
        <x:v>0</x:v>
      </x:c>
      <x:c r="H17" s="29" t="n">
        <x:v>0</x:v>
      </x:c>
      <x:c r="I17" s="29" t="n">
        <x:v>0</x:v>
      </x:c>
      <x:c r="J17" s="29" t="n">
        <x:v>1</x:v>
      </x:c>
      <x:c r="K17" s="29" t="n">
        <x:v>1</x:v>
      </x:c>
      <x:c r="L17" s="29" t="n">
        <x:v>0</x:v>
      </x:c>
      <x:c r="M17" s="29" t="n">
        <x:v>0</x:v>
      </x:c>
      <x:c r="N17" s="29" t="n">
        <x:v>0</x:v>
      </x:c>
      <x:c r="O17" s="30" t="n">
        <x:v>0</x:v>
      </x:c>
    </x:row>
    <x:row r="18">
      <x:c r="A18" s="28" t="str">
        <x:v>Due to underlying life-threatening illness</x:v>
      </x:c>
      <x:c r="B18" s="29" t="str">
        <x:v>Alopecia</x:v>
      </x:c>
      <x:c r="C18" s="29" t="n">
        <x:v>1</x:v>
      </x:c>
      <x:c r="D18" s="29" t="n">
        <x:v>0</x:v>
      </x:c>
      <x:c r="E18" s="29" t="n">
        <x:v>0</x:v>
      </x:c>
      <x:c r="F18" s="29" t="n">
        <x:v>0</x:v>
      </x:c>
      <x:c r="G18" s="29" t="n">
        <x:v>1</x:v>
      </x:c>
      <x:c r="H18" s="29" t="n">
        <x:v>0</x:v>
      </x:c>
      <x:c r="I18" s="29" t="n">
        <x:v>0</x:v>
      </x:c>
      <x:c r="J18" s="29" t="n">
        <x:v>0</x:v>
      </x:c>
      <x:c r="K18" s="29" t="n">
        <x:v>0</x:v>
      </x:c>
      <x:c r="L18" s="29" t="n">
        <x:v>0</x:v>
      </x:c>
      <x:c r="M18" s="29" t="n">
        <x:v>0</x:v>
      </x:c>
      <x:c r="N18" s="29" t="n">
        <x:v>0</x:v>
      </x:c>
      <x:c r="O18" s="30" t="n">
        <x:v>0</x:v>
      </x:c>
    </x:row>
    <x:row r="19">
      <x:c r="A19" s="28" t="str">
        <x:v>Due to underlying life-threatening illness</x:v>
      </x:c>
      <x:c r="B19" s="29" t="str">
        <x:v>Gynecomastia</x:v>
      </x:c>
      <x:c r="C19" s="29" t="n">
        <x:v>1</x:v>
      </x:c>
      <x:c r="D19" s="29" t="n">
        <x:v>0</x:v>
      </x:c>
      <x:c r="E19" s="29" t="n">
        <x:v>0</x:v>
      </x:c>
      <x:c r="F19" s="29" t="n">
        <x:v>0</x:v>
      </x:c>
      <x:c r="G19" s="29" t="n">
        <x:v>0</x:v>
      </x:c>
      <x:c r="H19" s="29" t="n">
        <x:v>0</x:v>
      </x:c>
      <x:c r="I19" s="29" t="n">
        <x:v>0</x:v>
      </x:c>
      <x:c r="J19" s="29" t="n">
        <x:v>1</x:v>
      </x:c>
      <x:c r="K19" s="29" t="n">
        <x:v>0</x:v>
      </x:c>
      <x:c r="L19" s="29" t="n">
        <x:v>0</x:v>
      </x:c>
      <x:c r="M19" s="29" t="n">
        <x:v>0</x:v>
      </x:c>
      <x:c r="N19" s="29" t="n">
        <x:v>0</x:v>
      </x:c>
      <x:c r="O19" s="30" t="n">
        <x:v>0</x:v>
      </x:c>
    </x:row>
    <x:row r="20">
      <x:c r="A20" s="28" t="str">
        <x:v>Due to underlying life-threatening illness</x:v>
      </x:c>
      <x:c r="B20" s="29" t="str">
        <x:v>Hand-foot syndrome</x:v>
      </x:c>
      <x:c r="C20" s="29" t="n">
        <x:v>1</x:v>
      </x:c>
      <x:c r="D20" s="29" t="n">
        <x:v>1</x:v>
      </x:c>
      <x:c r="E20" s="29" t="n">
        <x:v>0</x:v>
      </x:c>
      <x:c r="F20" s="29" t="n">
        <x:v>0</x:v>
      </x:c>
      <x:c r="G20" s="29" t="n">
        <x:v>0</x:v>
      </x:c>
      <x:c r="H20" s="29" t="n">
        <x:v>0</x:v>
      </x:c>
      <x:c r="I20" s="29" t="n">
        <x:v>0</x:v>
      </x:c>
      <x:c r="J20" s="29" t="n">
        <x:v>0</x:v>
      </x:c>
      <x:c r="K20" s="29" t="n">
        <x:v>0</x:v>
      </x:c>
      <x:c r="L20" s="29" t="n">
        <x:v>0</x:v>
      </x:c>
      <x:c r="M20" s="29" t="n">
        <x:v>0</x:v>
      </x:c>
      <x:c r="N20" s="29" t="n">
        <x:v>0</x:v>
      </x:c>
      <x:c r="O20" s="30" t="n">
        <x:v>0</x:v>
      </x:c>
    </x:row>
    <x:row r="21">
      <x:c r="A21" s="28" t="str">
        <x:v>Other</x:v>
      </x:c>
      <x:c r="B21" s="29" t="str">
        <x:v>Fatigue</x:v>
      </x:c>
      <x:c r="C21" s="29" t="n">
        <x:v>45</x:v>
      </x:c>
      <x:c r="D21" s="29" t="n">
        <x:v>9</x:v>
      </x:c>
      <x:c r="E21" s="29" t="n">
        <x:v>2</x:v>
      </x:c>
      <x:c r="F21" s="29" t="n">
        <x:v>2</x:v>
      </x:c>
      <x:c r="G21" s="29" t="n">
        <x:v>13</x:v>
      </x:c>
      <x:c r="H21" s="29" t="n">
        <x:v>6</x:v>
      </x:c>
      <x:c r="I21" s="29" t="n">
        <x:v>2</x:v>
      </x:c>
      <x:c r="J21" s="29" t="n">
        <x:v>14</x:v>
      </x:c>
      <x:c r="K21" s="29" t="n">
        <x:v>4</x:v>
      </x:c>
      <x:c r="L21" s="29" t="n">
        <x:v>1</x:v>
      </x:c>
      <x:c r="M21" s="29" t="n">
        <x:v>9</x:v>
      </x:c>
      <x:c r="N21" s="29" t="n">
        <x:v>2</x:v>
      </x:c>
      <x:c r="O21" s="30" t="n">
        <x:v>1</x:v>
      </x:c>
    </x:row>
    <x:row r="22">
      <x:c r="A22" s="28" t="str">
        <x:v>Other</x:v>
      </x:c>
      <x:c r="B22" s="29" t="str">
        <x:v>Headache</x:v>
      </x:c>
      <x:c r="C22" s="29" t="n">
        <x:v>40</x:v>
      </x:c>
      <x:c r="D22" s="29" t="n">
        <x:v>6</x:v>
      </x:c>
      <x:c r="E22" s="29" t="n">
        <x:v>4</x:v>
      </x:c>
      <x:c r="F22" s="29" t="n">
        <x:v>0</x:v>
      </x:c>
      <x:c r="G22" s="29" t="n">
        <x:v>21</x:v>
      </x:c>
      <x:c r="H22" s="29" t="n">
        <x:v>9</x:v>
      </x:c>
      <x:c r="I22" s="29" t="n">
        <x:v>2</x:v>
      </x:c>
      <x:c r="J22" s="29" t="n">
        <x:v>9</x:v>
      </x:c>
      <x:c r="K22" s="29" t="n">
        <x:v>1</x:v>
      </x:c>
      <x:c r="L22" s="29" t="n">
        <x:v>2</x:v>
      </x:c>
      <x:c r="M22" s="29" t="n">
        <x:v>4</x:v>
      </x:c>
      <x:c r="N22" s="29" t="n">
        <x:v>1</x:v>
      </x:c>
      <x:c r="O22" s="30" t="n">
        <x:v>1</x:v>
      </x:c>
    </x:row>
    <x:row r="23">
      <x:c r="A23" s="28" t="str">
        <x:v>Other</x:v>
      </x:c>
      <x:c r="B23" s="29" t="str">
        <x:v>Difficulty to concentrate</x:v>
      </x:c>
      <x:c r="C23" s="29" t="n">
        <x:v>23</x:v>
      </x:c>
      <x:c r="D23" s="29" t="n">
        <x:v>2</x:v>
      </x:c>
      <x:c r="E23" s="29" t="n">
        <x:v>0</x:v>
      </x:c>
      <x:c r="F23" s="29" t="n">
        <x:v>0</x:v>
      </x:c>
      <x:c r="G23" s="29" t="n">
        <x:v>7</x:v>
      </x:c>
      <x:c r="H23" s="29" t="n">
        <x:v>2</x:v>
      </x:c>
      <x:c r="I23" s="29" t="n">
        <x:v>1</x:v>
      </x:c>
      <x:c r="J23" s="29" t="n">
        <x:v>9</x:v>
      </x:c>
      <x:c r="K23" s="29" t="n">
        <x:v>2</x:v>
      </x:c>
      <x:c r="L23" s="29" t="n">
        <x:v>2</x:v>
      </x:c>
      <x:c r="M23" s="29" t="n">
        <x:v>5</x:v>
      </x:c>
      <x:c r="N23" s="29" t="n">
        <x:v>2</x:v>
      </x:c>
      <x:c r="O23" s="30" t="n">
        <x:v>0</x:v>
      </x:c>
    </x:row>
    <x:row r="24">
      <x:c r="A24" s="28" t="str">
        <x:v>Other</x:v>
      </x:c>
      <x:c r="B24" s="29" t="str">
        <x:v>Nausea</x:v>
      </x:c>
      <x:c r="C24" s="29" t="n">
        <x:v>19</x:v>
      </x:c>
      <x:c r="D24" s="29" t="n">
        <x:v>1</x:v>
      </x:c>
      <x:c r="E24" s="29" t="n">
        <x:v>1</x:v>
      </x:c>
      <x:c r="F24" s="29" t="n">
        <x:v>0</x:v>
      </x:c>
      <x:c r="G24" s="29" t="n">
        <x:v>7</x:v>
      </x:c>
      <x:c r="H24" s="29" t="n">
        <x:v>3</x:v>
      </x:c>
      <x:c r="I24" s="29" t="n">
        <x:v>2</x:v>
      </x:c>
      <x:c r="J24" s="29" t="n">
        <x:v>7</x:v>
      </x:c>
      <x:c r="K24" s="29" t="n">
        <x:v>2</x:v>
      </x:c>
      <x:c r="L24" s="29" t="n">
        <x:v>1</x:v>
      </x:c>
      <x:c r="M24" s="29" t="n">
        <x:v>5</x:v>
      </x:c>
      <x:c r="N24" s="29" t="n">
        <x:v>1</x:v>
      </x:c>
      <x:c r="O24" s="30" t="n">
        <x:v>0</x:v>
      </x:c>
    </x:row>
    <x:row r="25">
      <x:c r="A25" s="28" t="str">
        <x:v>Other</x:v>
      </x:c>
      <x:c r="B25" s="29" t="str">
        <x:v>Dizziness</x:v>
      </x:c>
      <x:c r="C25" s="29" t="n">
        <x:v>18</x:v>
      </x:c>
      <x:c r="D25" s="29" t="n">
        <x:v>4</x:v>
      </x:c>
      <x:c r="E25" s="29" t="n">
        <x:v>1</x:v>
      </x:c>
      <x:c r="F25" s="29" t="n">
        <x:v>0</x:v>
      </x:c>
      <x:c r="G25" s="29" t="n">
        <x:v>7</x:v>
      </x:c>
      <x:c r="H25" s="29" t="n">
        <x:v>3</x:v>
      </x:c>
      <x:c r="I25" s="29" t="n">
        <x:v>2</x:v>
      </x:c>
      <x:c r="J25" s="29" t="n">
        <x:v>5</x:v>
      </x:c>
      <x:c r="K25" s="29" t="n">
        <x:v>2</x:v>
      </x:c>
      <x:c r="L25" s="29" t="n">
        <x:v>0</x:v>
      </x:c>
      <x:c r="M25" s="29" t="n">
        <x:v>2</x:v>
      </x:c>
      <x:c r="N25" s="29" t="n">
        <x:v>1</x:v>
      </x:c>
      <x:c r="O25" s="30" t="n">
        <x:v>0</x:v>
      </x:c>
    </x:row>
    <x:row r="26">
      <x:c r="A26" s="28" t="str">
        <x:v>Other</x:v>
      </x:c>
      <x:c r="B26" s="29" t="str">
        <x:v>Common cold</x:v>
      </x:c>
      <x:c r="C26" s="29" t="n">
        <x:v>15</x:v>
      </x:c>
      <x:c r="D26" s="29" t="n">
        <x:v>3</x:v>
      </x:c>
      <x:c r="E26" s="29" t="n">
        <x:v>0</x:v>
      </x:c>
      <x:c r="F26" s="29" t="n">
        <x:v>0</x:v>
      </x:c>
      <x:c r="G26" s="29" t="n">
        <x:v>4</x:v>
      </x:c>
      <x:c r="H26" s="29" t="n">
        <x:v>2</x:v>
      </x:c>
      <x:c r="I26" s="29" t="n">
        <x:v>0</x:v>
      </x:c>
      <x:c r="J26" s="29" t="n">
        <x:v>5</x:v>
      </x:c>
      <x:c r="K26" s="29" t="n">
        <x:v>2</x:v>
      </x:c>
      <x:c r="L26" s="29" t="n">
        <x:v>0</x:v>
      </x:c>
      <x:c r="M26" s="29" t="n">
        <x:v>3</x:v>
      </x:c>
      <x:c r="N26" s="29" t="n">
        <x:v>1</x:v>
      </x:c>
      <x:c r="O26" s="30" t="n">
        <x:v>1</x:v>
      </x:c>
    </x:row>
    <x:row r="27">
      <x:c r="A27" s="28" t="str">
        <x:v>Other</x:v>
      </x:c>
      <x:c r="B27" s="29" t="str">
        <x:v>Diarrhea</x:v>
      </x:c>
      <x:c r="C27" s="29" t="n">
        <x:v>5</x:v>
      </x:c>
      <x:c r="D27" s="29" t="n">
        <x:v>0</x:v>
      </x:c>
      <x:c r="E27" s="29" t="n">
        <x:v>0</x:v>
      </x:c>
      <x:c r="F27" s="29" t="n">
        <x:v>0</x:v>
      </x:c>
      <x:c r="G27" s="29" t="n">
        <x:v>1</x:v>
      </x:c>
      <x:c r="H27" s="29" t="n">
        <x:v>0</x:v>
      </x:c>
      <x:c r="I27" s="29" t="n">
        <x:v>1</x:v>
      </x:c>
      <x:c r="J27" s="29" t="n">
        <x:v>2</x:v>
      </x:c>
      <x:c r="K27" s="29" t="n">
        <x:v>0</x:v>
      </x:c>
      <x:c r="L27" s="29" t="n">
        <x:v>1</x:v>
      </x:c>
      <x:c r="M27" s="29" t="n">
        <x:v>2</x:v>
      </x:c>
      <x:c r="N27" s="29" t="n">
        <x:v>0</x:v>
      </x:c>
      <x:c r="O27" s="30" t="n">
        <x:v>0</x:v>
      </x:c>
    </x:row>
    <x:row r="28">
      <x:c r="A28" s="28" t="str">
        <x:v>Other</x:v>
      </x:c>
      <x:c r="B28" s="29" t="str">
        <x:v>Cough</x:v>
      </x:c>
      <x:c r="C28" s="29" t="n">
        <x:v>4</x:v>
      </x:c>
      <x:c r="D28" s="29" t="n">
        <x:v>1</x:v>
      </x:c>
      <x:c r="E28" s="29" t="n">
        <x:v>0</x:v>
      </x:c>
      <x:c r="F28" s="29" t="n">
        <x:v>0</x:v>
      </x:c>
      <x:c r="G28" s="29" t="n">
        <x:v>0</x:v>
      </x:c>
      <x:c r="H28" s="29" t="n">
        <x:v>0</x:v>
      </x:c>
      <x:c r="I28" s="29" t="n">
        <x:v>0</x:v>
      </x:c>
      <x:c r="J28" s="29" t="n">
        <x:v>2</x:v>
      </x:c>
      <x:c r="K28" s="29" t="n">
        <x:v>0</x:v>
      </x:c>
      <x:c r="L28" s="29" t="n">
        <x:v>0</x:v>
      </x:c>
      <x:c r="M28" s="29" t="n">
        <x:v>1</x:v>
      </x:c>
      <x:c r="N28" s="29" t="n">
        <x:v>0</x:v>
      </x:c>
      <x:c r="O28" s="30" t="n">
        <x:v>0</x:v>
      </x:c>
    </x:row>
    <x:row r="29">
      <x:c r="A29" s="28" t="str">
        <x:v>Other</x:v>
      </x:c>
      <x:c r="B29" s="29" t="str">
        <x:v>Abdominal cramps</x:v>
      </x:c>
      <x:c r="C29" s="29" t="n">
        <x:v>2</x:v>
      </x:c>
      <x:c r="D29" s="29" t="n">
        <x:v>2</x:v>
      </x:c>
      <x:c r="E29" s="29" t="n">
        <x:v>0</x:v>
      </x:c>
      <x:c r="F29" s="29" t="n">
        <x:v>0</x:v>
      </x:c>
      <x:c r="G29" s="29" t="n">
        <x:v>0</x:v>
      </x:c>
      <x:c r="H29" s="29" t="n">
        <x:v>0</x:v>
      </x:c>
      <x:c r="I29" s="29" t="n">
        <x:v>0</x:v>
      </x:c>
      <x:c r="J29" s="29" t="n">
        <x:v>0</x:v>
      </x:c>
      <x:c r="K29" s="29" t="n">
        <x:v>0</x:v>
      </x:c>
      <x:c r="L29" s="29" t="n">
        <x:v>0</x:v>
      </x:c>
      <x:c r="M29" s="29" t="n">
        <x:v>0</x:v>
      </x:c>
      <x:c r="N29" s="29" t="n">
        <x:v>0</x:v>
      </x:c>
      <x:c r="O29" s="30" t="n">
        <x:v>0</x:v>
      </x:c>
    </x:row>
    <x:row r="30">
      <x:c r="A30" s="28" t="str">
        <x:v>Other</x:v>
      </x:c>
      <x:c r="B30" s="29" t="str">
        <x:v>Abdominal pain</x:v>
      </x:c>
      <x:c r="C30" s="29" t="n">
        <x:v>2</x:v>
      </x:c>
      <x:c r="D30" s="29" t="n">
        <x:v>0</x:v>
      </x:c>
      <x:c r="E30" s="29" t="n">
        <x:v>0</x:v>
      </x:c>
      <x:c r="F30" s="29" t="n">
        <x:v>0</x:v>
      </x:c>
      <x:c r="G30" s="29" t="n">
        <x:v>1</x:v>
      </x:c>
      <x:c r="H30" s="29" t="n">
        <x:v>0</x:v>
      </x:c>
      <x:c r="I30" s="29" t="n">
        <x:v>0</x:v>
      </x:c>
      <x:c r="J30" s="29" t="n">
        <x:v>1</x:v>
      </x:c>
      <x:c r="K30" s="29" t="n">
        <x:v>0</x:v>
      </x:c>
      <x:c r="L30" s="29" t="n">
        <x:v>1</x:v>
      </x:c>
      <x:c r="M30" s="29" t="n">
        <x:v>0</x:v>
      </x:c>
      <x:c r="N30" s="29" t="n">
        <x:v>0</x:v>
      </x:c>
      <x:c r="O30" s="30" t="n">
        <x:v>0</x:v>
      </x:c>
    </x:row>
    <x:row r="31">
      <x:c r="A31" s="28" t="str">
        <x:v>Other</x:v>
      </x:c>
      <x:c r="B31" s="29" t="str">
        <x:v>Lumbalgia</x:v>
      </x:c>
      <x:c r="C31" s="29" t="n">
        <x:v>2</x:v>
      </x:c>
      <x:c r="D31" s="29" t="n">
        <x:v>0</x:v>
      </x:c>
      <x:c r="E31" s="29" t="n">
        <x:v>0</x:v>
      </x:c>
      <x:c r="F31" s="29" t="n">
        <x:v>0</x:v>
      </x:c>
      <x:c r="G31" s="29" t="n">
        <x:v>2</x:v>
      </x:c>
      <x:c r="H31" s="29" t="n">
        <x:v>0</x:v>
      </x:c>
      <x:c r="I31" s="29" t="n">
        <x:v>1</x:v>
      </x:c>
      <x:c r="J31" s="29" t="n">
        <x:v>0</x:v>
      </x:c>
      <x:c r="K31" s="29" t="n">
        <x:v>0</x:v>
      </x:c>
      <x:c r="L31" s="29" t="n">
        <x:v>0</x:v>
      </x:c>
      <x:c r="M31" s="29" t="n">
        <x:v>0</x:v>
      </x:c>
      <x:c r="N31" s="29" t="n">
        <x:v>0</x:v>
      </x:c>
      <x:c r="O31" s="30" t="n">
        <x:v>0</x:v>
      </x:c>
    </x:row>
    <x:row r="32">
      <x:c r="A32" s="28" t="str">
        <x:v>Other</x:v>
      </x:c>
      <x:c r="B32" s="29" t="str">
        <x:v>Mastitis</x:v>
      </x:c>
      <x:c r="C32" s="29" t="n">
        <x:v>2</x:v>
      </x:c>
      <x:c r="D32" s="29" t="n">
        <x:v>0</x:v>
      </x:c>
      <x:c r="E32" s="29" t="n">
        <x:v>0</x:v>
      </x:c>
      <x:c r="F32" s="29" t="n">
        <x:v>0</x:v>
      </x:c>
      <x:c r="G32" s="29" t="n">
        <x:v>0</x:v>
      </x:c>
      <x:c r="H32" s="29" t="n">
        <x:v>0</x:v>
      </x:c>
      <x:c r="I32" s="29" t="n">
        <x:v>0</x:v>
      </x:c>
      <x:c r="J32" s="29" t="n">
        <x:v>2</x:v>
      </x:c>
      <x:c r="K32" s="29" t="n">
        <x:v>0</x:v>
      </x:c>
      <x:c r="L32" s="29" t="n">
        <x:v>0</x:v>
      </x:c>
      <x:c r="M32" s="29" t="n">
        <x:v>0</x:v>
      </x:c>
      <x:c r="N32" s="29" t="n">
        <x:v>0</x:v>
      </x:c>
      <x:c r="O32" s="30" t="n">
        <x:v>0</x:v>
      </x:c>
    </x:row>
    <x:row r="33">
      <x:c r="A33" s="28" t="str">
        <x:v>Other</x:v>
      </x:c>
      <x:c r="B33" s="29" t="str">
        <x:v>Weight gain</x:v>
      </x:c>
      <x:c r="C33" s="29" t="n">
        <x:v>2</x:v>
      </x:c>
      <x:c r="D33" s="29" t="n">
        <x:v>0</x:v>
      </x:c>
      <x:c r="E33" s="29" t="n">
        <x:v>0</x:v>
      </x:c>
      <x:c r="F33" s="29" t="n">
        <x:v>0</x:v>
      </x:c>
      <x:c r="G33" s="29" t="n">
        <x:v>1</x:v>
      </x:c>
      <x:c r="H33" s="29" t="n">
        <x:v>0</x:v>
      </x:c>
      <x:c r="I33" s="29" t="n">
        <x:v>0</x:v>
      </x:c>
      <x:c r="J33" s="29" t="n">
        <x:v>0</x:v>
      </x:c>
      <x:c r="K33" s="29" t="n">
        <x:v>0</x:v>
      </x:c>
      <x:c r="L33" s="29" t="n">
        <x:v>0</x:v>
      </x:c>
      <x:c r="M33" s="29" t="n">
        <x:v>1</x:v>
      </x:c>
      <x:c r="N33" s="29" t="n">
        <x:v>1</x:v>
      </x:c>
      <x:c r="O33" s="30" t="n">
        <x:v>0</x:v>
      </x:c>
    </x:row>
    <x:row r="34">
      <x:c r="A34" s="28" t="str">
        <x:v>Other</x:v>
      </x:c>
      <x:c r="B34" s="29" t="str">
        <x:v>Viral eye infection</x:v>
      </x:c>
      <x:c r="C34" s="29" t="n">
        <x:v>1</x:v>
      </x:c>
      <x:c r="D34" s="29" t="n">
        <x:v>0</x:v>
      </x:c>
      <x:c r="E34" s="29" t="n">
        <x:v>0</x:v>
      </x:c>
      <x:c r="F34" s="29" t="n">
        <x:v>0</x:v>
      </x:c>
      <x:c r="G34" s="29" t="n">
        <x:v>1</x:v>
      </x:c>
      <x:c r="H34" s="29" t="n">
        <x:v>0</x:v>
      </x:c>
      <x:c r="I34" s="29" t="n">
        <x:v>0</x:v>
      </x:c>
      <x:c r="J34" s="29" t="n">
        <x:v>0</x:v>
      </x:c>
      <x:c r="K34" s="29" t="n">
        <x:v>0</x:v>
      </x:c>
      <x:c r="L34" s="29" t="n">
        <x:v>0</x:v>
      </x:c>
      <x:c r="M34" s="29" t="n">
        <x:v>0</x:v>
      </x:c>
      <x:c r="N34" s="29" t="n">
        <x:v>0</x:v>
      </x:c>
      <x:c r="O34" s="30" t="n">
        <x:v>0</x:v>
      </x:c>
    </x:row>
    <x:row r="35">
      <x:c r="A35" s="28" t="str">
        <x:v>Other</x:v>
      </x:c>
      <x:c r="B35" s="29" t="str">
        <x:v>Bronchitis</x:v>
      </x:c>
      <x:c r="C35" s="29" t="n">
        <x:v>1</x:v>
      </x:c>
      <x:c r="D35" s="29" t="n">
        <x:v>0</x:v>
      </x:c>
      <x:c r="E35" s="29" t="n">
        <x:v>0</x:v>
      </x:c>
      <x:c r="F35" s="29" t="n">
        <x:v>0</x:v>
      </x:c>
      <x:c r="G35" s="29" t="n">
        <x:v>0</x:v>
      </x:c>
      <x:c r="H35" s="29" t="n">
        <x:v>0</x:v>
      </x:c>
      <x:c r="I35" s="29" t="n">
        <x:v>0</x:v>
      </x:c>
      <x:c r="J35" s="29" t="n">
        <x:v>0</x:v>
      </x:c>
      <x:c r="K35" s="29" t="n">
        <x:v>0</x:v>
      </x:c>
      <x:c r="L35" s="29" t="n">
        <x:v>0</x:v>
      </x:c>
      <x:c r="M35" s="29" t="n">
        <x:v>1</x:v>
      </x:c>
      <x:c r="N35" s="29" t="n">
        <x:v>0</x:v>
      </x:c>
      <x:c r="O35" s="30" t="n">
        <x:v>0</x:v>
      </x:c>
    </x:row>
    <x:row r="36">
      <x:c r="A36" s="28" t="str">
        <x:v>Other</x:v>
      </x:c>
      <x:c r="B36" s="29" t="str">
        <x:v>Sigmoiditis</x:v>
      </x:c>
      <x:c r="C36" s="29" t="n">
        <x:v>1</x:v>
      </x:c>
      <x:c r="D36" s="29" t="n">
        <x:v>1</x:v>
      </x:c>
      <x:c r="E36" s="29" t="n">
        <x:v>0</x:v>
      </x:c>
      <x:c r="F36" s="29" t="n">
        <x:v>0</x:v>
      </x:c>
      <x:c r="G36" s="29" t="n">
        <x:v>0</x:v>
      </x:c>
      <x:c r="H36" s="29" t="n">
        <x:v>0</x:v>
      </x:c>
      <x:c r="I36" s="29" t="n">
        <x:v>0</x:v>
      </x:c>
      <x:c r="J36" s="29" t="n">
        <x:v>0</x:v>
      </x:c>
      <x:c r="K36" s="29" t="n">
        <x:v>0</x:v>
      </x:c>
      <x:c r="L36" s="29" t="n">
        <x:v>0</x:v>
      </x:c>
      <x:c r="M36" s="29" t="n">
        <x:v>0</x:v>
      </x:c>
      <x:c r="N36" s="29" t="n">
        <x:v>0</x:v>
      </x:c>
      <x:c r="O36" s="30" t="n">
        <x:v>0</x:v>
      </x:c>
    </x:row>
    <x:row r="37">
      <x:c r="A37" s="28" t="str">
        <x:v>Other</x:v>
      </x:c>
      <x:c r="B37" s="29" t="str">
        <x:v>Insect bite</x:v>
      </x:c>
      <x:c r="C37" s="29" t="n">
        <x:v>1</x:v>
      </x:c>
      <x:c r="D37" s="29" t="n">
        <x:v>0</x:v>
      </x:c>
      <x:c r="E37" s="29" t="n">
        <x:v>0</x:v>
      </x:c>
      <x:c r="F37" s="29" t="n">
        <x:v>0</x:v>
      </x:c>
      <x:c r="G37" s="29" t="n">
        <x:v>0</x:v>
      </x:c>
      <x:c r="H37" s="29" t="n">
        <x:v>0</x:v>
      </x:c>
      <x:c r="I37" s="29" t="n">
        <x:v>0</x:v>
      </x:c>
      <x:c r="J37" s="29" t="n">
        <x:v>0</x:v>
      </x:c>
      <x:c r="K37" s="29" t="n">
        <x:v>0</x:v>
      </x:c>
      <x:c r="L37" s="29" t="n">
        <x:v>0</x:v>
      </x:c>
      <x:c r="M37" s="29" t="n">
        <x:v>1</x:v>
      </x:c>
      <x:c r="N37" s="29" t="n">
        <x:v>0</x:v>
      </x:c>
      <x:c r="O37" s="30" t="n">
        <x:v>0</x:v>
      </x:c>
    </x:row>
    <x:row r="38">
      <x:c r="A38" s="28" t="str">
        <x:v>Other</x:v>
      </x:c>
      <x:c r="B38" s="29" t="str">
        <x:v>Torticollis</x:v>
      </x:c>
      <x:c r="C38" s="29" t="n">
        <x:v>1</x:v>
      </x:c>
      <x:c r="D38" s="29" t="n">
        <x:v>0</x:v>
      </x:c>
      <x:c r="E38" s="29" t="n">
        <x:v>0</x:v>
      </x:c>
      <x:c r="F38" s="29" t="n">
        <x:v>0</x:v>
      </x:c>
      <x:c r="G38" s="29" t="n">
        <x:v>0</x:v>
      </x:c>
      <x:c r="H38" s="29" t="n">
        <x:v>0</x:v>
      </x:c>
      <x:c r="I38" s="29" t="n">
        <x:v>0</x:v>
      </x:c>
      <x:c r="J38" s="29" t="n">
        <x:v>0</x:v>
      </x:c>
      <x:c r="K38" s="29" t="n">
        <x:v>0</x:v>
      </x:c>
      <x:c r="L38" s="29" t="n">
        <x:v>0</x:v>
      </x:c>
      <x:c r="M38" s="29" t="n">
        <x:v>1</x:v>
      </x:c>
      <x:c r="N38" s="29" t="n">
        <x:v>0</x:v>
      </x:c>
      <x:c r="O38" s="30" t="n">
        <x:v>0</x:v>
      </x:c>
    </x:row>
    <x:row r="39">
      <x:c r="A39" s="28" t="str">
        <x:v>Other</x:v>
      </x:c>
      <x:c r="B39" s="29" t="str">
        <x:v>Eczema</x:v>
      </x:c>
      <x:c r="C39" s="29" t="n">
        <x:v>1</x:v>
      </x:c>
      <x:c r="D39" s="29" t="n">
        <x:v>1</x:v>
      </x:c>
      <x:c r="E39" s="29" t="n">
        <x:v>1</x:v>
      </x:c>
      <x:c r="F39" s="29" t="n">
        <x:v>0</x:v>
      </x:c>
      <x:c r="G39" s="29" t="n">
        <x:v>0</x:v>
      </x:c>
      <x:c r="H39" s="29" t="n">
        <x:v>0</x:v>
      </x:c>
      <x:c r="I39" s="29" t="n">
        <x:v>0</x:v>
      </x:c>
      <x:c r="J39" s="29" t="n">
        <x:v>0</x:v>
      </x:c>
      <x:c r="K39" s="29" t="n">
        <x:v>0</x:v>
      </x:c>
      <x:c r="L39" s="29" t="n">
        <x:v>0</x:v>
      </x:c>
      <x:c r="M39" s="29" t="n">
        <x:v>0</x:v>
      </x:c>
      <x:c r="N39" s="29" t="n">
        <x:v>0</x:v>
      </x:c>
      <x:c r="O39" s="30" t="n">
        <x:v>0</x:v>
      </x:c>
    </x:row>
    <x:row r="40">
      <x:c r="A40" s="28" t="str">
        <x:v>Other</x:v>
      </x:c>
      <x:c r="B40" s="29" t="str">
        <x:v>Vaginalmycosis</x:v>
      </x:c>
      <x:c r="C40" s="29" t="n">
        <x:v>1</x:v>
      </x:c>
      <x:c r="D40" s="29" t="n">
        <x:v>0</x:v>
      </x:c>
      <x:c r="E40" s="29" t="n">
        <x:v>0</x:v>
      </x:c>
      <x:c r="F40" s="29" t="n">
        <x:v>0</x:v>
      </x:c>
      <x:c r="G40" s="29" t="n">
        <x:v>1</x:v>
      </x:c>
      <x:c r="H40" s="29" t="n">
        <x:v>0</x:v>
      </x:c>
      <x:c r="I40" s="29" t="n">
        <x:v>0</x:v>
      </x:c>
      <x:c r="J40" s="29" t="n">
        <x:v>0</x:v>
      </x:c>
      <x:c r="K40" s="29" t="n">
        <x:v>0</x:v>
      </x:c>
      <x:c r="L40" s="29" t="n">
        <x:v>0</x:v>
      </x:c>
      <x:c r="M40" s="29" t="n">
        <x:v>0</x:v>
      </x:c>
      <x:c r="N40" s="29" t="n">
        <x:v>0</x:v>
      </x:c>
      <x:c r="O40" s="30" t="n">
        <x:v>0</x:v>
      </x:c>
    </x:row>
    <x:row r="41">
      <x:c r="A41" s="28" t="str">
        <x:v>Other</x:v>
      </x:c>
      <x:c r="B41" s="29" t="str">
        <x:v>Urinary infection</x:v>
      </x:c>
      <x:c r="C41" s="29" t="n">
        <x:v>1</x:v>
      </x:c>
      <x:c r="D41" s="29" t="n">
        <x:v>0</x:v>
      </x:c>
      <x:c r="E41" s="29" t="n">
        <x:v>0</x:v>
      </x:c>
      <x:c r="F41" s="29" t="n">
        <x:v>0</x:v>
      </x:c>
      <x:c r="G41" s="29" t="n">
        <x:v>0</x:v>
      </x:c>
      <x:c r="H41" s="29" t="n">
        <x:v>0</x:v>
      </x:c>
      <x:c r="I41" s="29" t="n">
        <x:v>0</x:v>
      </x:c>
      <x:c r="J41" s="29" t="n">
        <x:v>0</x:v>
      </x:c>
      <x:c r="K41" s="29" t="n">
        <x:v>0</x:v>
      </x:c>
      <x:c r="L41" s="29" t="n">
        <x:v>0</x:v>
      </x:c>
      <x:c r="M41" s="29" t="n">
        <x:v>1</x:v>
      </x:c>
      <x:c r="N41" s="29" t="n">
        <x:v>0</x:v>
      </x:c>
      <x:c r="O41" s="30" t="n">
        <x:v>1</x:v>
      </x:c>
    </x:row>
    <x:row r="42">
      <x:c r="A42" s="28" t="str">
        <x:v>Other</x:v>
      </x:c>
      <x:c r="B42" s="29" t="str">
        <x:v>Toothache</x:v>
      </x:c>
      <x:c r="C42" s="29" t="n">
        <x:v>1</x:v>
      </x:c>
      <x:c r="D42" s="29" t="n">
        <x:v>0</x:v>
      </x:c>
      <x:c r="E42" s="29" t="n">
        <x:v>0</x:v>
      </x:c>
      <x:c r="F42" s="29" t="n">
        <x:v>0</x:v>
      </x:c>
      <x:c r="G42" s="29" t="n">
        <x:v>1</x:v>
      </x:c>
      <x:c r="H42" s="29" t="n">
        <x:v>0</x:v>
      </x:c>
      <x:c r="I42" s="29" t="n">
        <x:v>0</x:v>
      </x:c>
      <x:c r="J42" s="29" t="n">
        <x:v>0</x:v>
      </x:c>
      <x:c r="K42" s="29" t="n">
        <x:v>0</x:v>
      </x:c>
      <x:c r="L42" s="29" t="n">
        <x:v>0</x:v>
      </x:c>
      <x:c r="M42" s="29" t="n">
        <x:v>0</x:v>
      </x:c>
      <x:c r="N42" s="29" t="n">
        <x:v>0</x:v>
      </x:c>
      <x:c r="O42" s="30" t="n">
        <x:v>0</x:v>
      </x:c>
    </x:row>
    <x:row r="43">
      <x:c r="A43" s="28" t="str">
        <x:v>Other</x:v>
      </x:c>
      <x:c r="B43" s="29" t="str">
        <x:v>Dizziness after deduction of escitalopram</x:v>
      </x:c>
      <x:c r="C43" s="29" t="n">
        <x:v>1</x:v>
      </x:c>
      <x:c r="D43" s="29" t="n">
        <x:v>0</x:v>
      </x:c>
      <x:c r="E43" s="29" t="n">
        <x:v>0</x:v>
      </x:c>
      <x:c r="F43" s="29" t="n">
        <x:v>0</x:v>
      </x:c>
      <x:c r="G43" s="29" t="n">
        <x:v>0</x:v>
      </x:c>
      <x:c r="H43" s="29" t="n">
        <x:v>0</x:v>
      </x:c>
      <x:c r="I43" s="29" t="n">
        <x:v>0</x:v>
      </x:c>
      <x:c r="J43" s="29" t="n">
        <x:v>1</x:v>
      </x:c>
      <x:c r="K43" s="29" t="n">
        <x:v>0</x:v>
      </x:c>
      <x:c r="L43" s="29" t="n">
        <x:v>0</x:v>
      </x:c>
      <x:c r="M43" s="29" t="n">
        <x:v>0</x:v>
      </x:c>
      <x:c r="N43" s="29" t="n">
        <x:v>0</x:v>
      </x:c>
      <x:c r="O43" s="30" t="n">
        <x:v>0</x:v>
      </x:c>
    </x:row>
    <x:row r="44">
      <x:c r="A44" s="28" t="str">
        <x:v>Other</x:v>
      </x:c>
      <x:c r="B44" s="29" t="str">
        <x:v>Groin and testicle pain</x:v>
      </x:c>
      <x:c r="C44" s="29" t="n">
        <x:v>1</x:v>
      </x:c>
      <x:c r="D44" s="29" t="n">
        <x:v>1</x:v>
      </x:c>
      <x:c r="E44" s="29" t="n">
        <x:v>0</x:v>
      </x:c>
      <x:c r="F44" s="29" t="n">
        <x:v>0</x:v>
      </x:c>
      <x:c r="G44" s="29" t="n">
        <x:v>0</x:v>
      </x:c>
      <x:c r="H44" s="29" t="n">
        <x:v>0</x:v>
      </x:c>
      <x:c r="I44" s="29" t="n">
        <x:v>0</x:v>
      </x:c>
      <x:c r="J44" s="29" t="n">
        <x:v>0</x:v>
      </x:c>
      <x:c r="K44" s="29" t="n">
        <x:v>0</x:v>
      </x:c>
      <x:c r="L44" s="29" t="n">
        <x:v>0</x:v>
      </x:c>
      <x:c r="M44" s="29" t="n">
        <x:v>0</x:v>
      </x:c>
      <x:c r="N44" s="29" t="n">
        <x:v>0</x:v>
      </x:c>
      <x:c r="O44" s="30" t="n">
        <x:v>0</x:v>
      </x:c>
    </x:row>
    <x:row r="45">
      <x:c r="A45" s="28" t="str">
        <x:v>Other</x:v>
      </x:c>
      <x:c r="B45" s="29" t="str">
        <x:v>Shingles</x:v>
      </x:c>
      <x:c r="C45" s="29" t="n">
        <x:v>1</x:v>
      </x:c>
      <x:c r="D45" s="29" t="n">
        <x:v>0</x:v>
      </x:c>
      <x:c r="E45" s="29" t="n">
        <x:v>0</x:v>
      </x:c>
      <x:c r="F45" s="29" t="n">
        <x:v>0</x:v>
      </x:c>
      <x:c r="G45" s="29" t="n">
        <x:v>0</x:v>
      </x:c>
      <x:c r="H45" s="29" t="n">
        <x:v>0</x:v>
      </x:c>
      <x:c r="I45" s="29" t="n">
        <x:v>0</x:v>
      </x:c>
      <x:c r="J45" s="29" t="n">
        <x:v>0</x:v>
      </x:c>
      <x:c r="K45" s="29" t="n">
        <x:v>0</x:v>
      </x:c>
      <x:c r="L45" s="29" t="n">
        <x:v>0</x:v>
      </x:c>
      <x:c r="M45" s="29" t="n">
        <x:v>1</x:v>
      </x:c>
      <x:c r="N45" s="29" t="n">
        <x:v>0</x:v>
      </x:c>
      <x:c r="O45" s="30" t="n">
        <x:v>0</x:v>
      </x:c>
    </x:row>
    <x:row r="46">
      <x:c r="A46" s="28" t="str">
        <x:v>Other</x:v>
      </x:c>
      <x:c r="B46" s="29" t="str">
        <x:v>Ischialgia</x:v>
      </x:c>
      <x:c r="C46" s="29" t="n">
        <x:v>1</x:v>
      </x:c>
      <x:c r="D46" s="29" t="n">
        <x:v>0</x:v>
      </x:c>
      <x:c r="E46" s="29" t="n">
        <x:v>0</x:v>
      </x:c>
      <x:c r="F46" s="29" t="n">
        <x:v>0</x:v>
      </x:c>
      <x:c r="G46" s="29" t="n">
        <x:v>1</x:v>
      </x:c>
      <x:c r="H46" s="29" t="n">
        <x:v>1</x:v>
      </x:c>
      <x:c r="I46" s="29" t="n">
        <x:v>0</x:v>
      </x:c>
      <x:c r="J46" s="29" t="n">
        <x:v>0</x:v>
      </x:c>
      <x:c r="K46" s="29" t="n">
        <x:v>0</x:v>
      </x:c>
      <x:c r="L46" s="29" t="n">
        <x:v>0</x:v>
      </x:c>
      <x:c r="M46" s="29" t="n">
        <x:v>0</x:v>
      </x:c>
      <x:c r="N46" s="29" t="n">
        <x:v>0</x:v>
      </x:c>
      <x:c r="O46" s="30" t="n">
        <x:v>0</x:v>
      </x:c>
    </x:row>
    <x:row r="47">
      <x:c r="A47" s="28" t="str">
        <x:v>Other</x:v>
      </x:c>
      <x:c r="B47" s="29" t="str">
        <x:v>Whiteness tooth dissection</x:v>
      </x:c>
      <x:c r="C47" s="29" t="n">
        <x:v>1</x:v>
      </x:c>
      <x:c r="D47" s="29" t="n">
        <x:v>0</x:v>
      </x:c>
      <x:c r="E47" s="29" t="n">
        <x:v>0</x:v>
      </x:c>
      <x:c r="F47" s="29" t="n">
        <x:v>0</x:v>
      </x:c>
      <x:c r="G47" s="29" t="n">
        <x:v>0</x:v>
      </x:c>
      <x:c r="H47" s="29" t="n">
        <x:v>0</x:v>
      </x:c>
      <x:c r="I47" s="29" t="n">
        <x:v>0</x:v>
      </x:c>
      <x:c r="J47" s="29" t="n">
        <x:v>0</x:v>
      </x:c>
      <x:c r="K47" s="29" t="n">
        <x:v>0</x:v>
      </x:c>
      <x:c r="L47" s="29" t="n">
        <x:v>0</x:v>
      </x:c>
      <x:c r="M47" s="29" t="n">
        <x:v>1</x:v>
      </x:c>
      <x:c r="N47" s="29" t="n">
        <x:v>0</x:v>
      </x:c>
      <x:c r="O47" s="30" t="n">
        <x:v>1</x:v>
      </x:c>
    </x:row>
    <x:row r="48">
      <x:c r="A48" s="28" t="str">
        <x:v>Other</x:v>
      </x:c>
      <x:c r="B48" s="29" t="str">
        <x:v>Fall</x:v>
      </x:c>
      <x:c r="C48" s="29" t="n">
        <x:v>1</x:v>
      </x:c>
      <x:c r="D48" s="29" t="n">
        <x:v>0</x:v>
      </x:c>
      <x:c r="E48" s="29" t="n">
        <x:v>0</x:v>
      </x:c>
      <x:c r="F48" s="29" t="n">
        <x:v>0</x:v>
      </x:c>
      <x:c r="G48" s="29" t="n">
        <x:v>0</x:v>
      </x:c>
      <x:c r="H48" s="29" t="n">
        <x:v>0</x:v>
      </x:c>
      <x:c r="I48" s="29" t="n">
        <x:v>0</x:v>
      </x:c>
      <x:c r="J48" s="29" t="n">
        <x:v>1</x:v>
      </x:c>
      <x:c r="K48" s="29" t="n">
        <x:v>0</x:v>
      </x:c>
      <x:c r="L48" s="29" t="n">
        <x:v>0</x:v>
      </x:c>
      <x:c r="M48" s="29" t="n">
        <x:v>0</x:v>
      </x:c>
      <x:c r="N48" s="29" t="n">
        <x:v>0</x:v>
      </x:c>
      <x:c r="O48" s="30" t="n">
        <x:v>0</x:v>
      </x:c>
    </x:row>
    <x:row r="49">
      <x:c r="A49" s="28" t="str">
        <x:v>Other</x:v>
      </x:c>
      <x:c r="B49" s="29" t="str">
        <x:v>Hypercholesterinemia</x:v>
      </x:c>
      <x:c r="C49" s="29" t="n">
        <x:v>1</x:v>
      </x:c>
      <x:c r="D49" s="29" t="n">
        <x:v>0</x:v>
      </x:c>
      <x:c r="E49" s="29" t="n">
        <x:v>0</x:v>
      </x:c>
      <x:c r="F49" s="29" t="n">
        <x:v>0</x:v>
      </x:c>
      <x:c r="G49" s="29" t="n">
        <x:v>0</x:v>
      </x:c>
      <x:c r="H49" s="29" t="n">
        <x:v>0</x:v>
      </x:c>
      <x:c r="I49" s="29" t="n">
        <x:v>0</x:v>
      </x:c>
      <x:c r="J49" s="29" t="n">
        <x:v>0</x:v>
      </x:c>
      <x:c r="K49" s="29" t="n">
        <x:v>0</x:v>
      </x:c>
      <x:c r="L49" s="29" t="n">
        <x:v>0</x:v>
      </x:c>
      <x:c r="M49" s="29" t="n">
        <x:v>1</x:v>
      </x:c>
      <x:c r="N49" s="29" t="n">
        <x:v>0</x:v>
      </x:c>
      <x:c r="O49" s="30" t="n">
        <x:v>0</x:v>
      </x:c>
    </x:row>
    <x:row r="50">
      <x:c r="A50" s="28" t="str">
        <x:v>Other</x:v>
      </x:c>
      <x:c r="B50" s="29" t="str">
        <x:v>Dog bite</x:v>
      </x:c>
      <x:c r="C50" s="29" t="n">
        <x:v>1</x:v>
      </x:c>
      <x:c r="D50" s="29" t="n">
        <x:v>1</x:v>
      </x:c>
      <x:c r="E50" s="29" t="n">
        <x:v>0</x:v>
      </x:c>
      <x:c r="F50" s="29" t="n">
        <x:v>0</x:v>
      </x:c>
      <x:c r="G50" s="29" t="n">
        <x:v>0</x:v>
      </x:c>
      <x:c r="H50" s="29" t="n">
        <x:v>0</x:v>
      </x:c>
      <x:c r="I50" s="29" t="n">
        <x:v>0</x:v>
      </x:c>
      <x:c r="J50" s="29" t="n">
        <x:v>0</x:v>
      </x:c>
      <x:c r="K50" s="29" t="n">
        <x:v>0</x:v>
      </x:c>
      <x:c r="L50" s="29" t="n">
        <x:v>0</x:v>
      </x:c>
      <x:c r="M50" s="29" t="n">
        <x:v>0</x:v>
      </x:c>
      <x:c r="N50" s="29" t="n">
        <x:v>0</x:v>
      </x:c>
      <x:c r="O50" s="30" t="n">
        <x:v>0</x:v>
      </x:c>
    </x:row>
    <x:row r="51">
      <x:c r="A51" s="28" t="str">
        <x:v>Other</x:v>
      </x:c>
      <x:c r="B51" s="29" t="str">
        <x:v>Norovirus</x:v>
      </x:c>
      <x:c r="C51" s="29" t="n">
        <x:v>1</x:v>
      </x:c>
      <x:c r="D51" s="29" t="n">
        <x:v>0</x:v>
      </x:c>
      <x:c r="E51" s="29" t="n">
        <x:v>0</x:v>
      </x:c>
      <x:c r="F51" s="29" t="n">
        <x:v>0</x:v>
      </x:c>
      <x:c r="G51" s="29" t="n">
        <x:v>0</x:v>
      </x:c>
      <x:c r="H51" s="29" t="n">
        <x:v>0</x:v>
      </x:c>
      <x:c r="I51" s="29" t="n">
        <x:v>0</x:v>
      </x:c>
      <x:c r="J51" s="29" t="n">
        <x:v>0</x:v>
      </x:c>
      <x:c r="K51" s="29" t="n">
        <x:v>0</x:v>
      </x:c>
      <x:c r="L51" s="29" t="n">
        <x:v>0</x:v>
      </x:c>
      <x:c r="M51" s="29" t="n">
        <x:v>1</x:v>
      </x:c>
      <x:c r="N51" s="29" t="n">
        <x:v>0</x:v>
      </x:c>
      <x:c r="O51" s="30" t="n">
        <x:v>0</x:v>
      </x:c>
    </x:row>
    <x:row r="52">
      <x:c r="A52" s="28" t="str">
        <x:v>Other</x:v>
      </x:c>
      <x:c r="B52" s="29" t="str">
        <x:v>Swollen hand</x:v>
      </x:c>
      <x:c r="C52" s="29" t="n">
        <x:v>1</x:v>
      </x:c>
      <x:c r="D52" s="29" t="n">
        <x:v>0</x:v>
      </x:c>
      <x:c r="E52" s="29" t="n">
        <x:v>0</x:v>
      </x:c>
      <x:c r="F52" s="29" t="n">
        <x:v>0</x:v>
      </x:c>
      <x:c r="G52" s="29" t="n">
        <x:v>0</x:v>
      </x:c>
      <x:c r="H52" s="29" t="n">
        <x:v>0</x:v>
      </x:c>
      <x:c r="I52" s="29" t="n">
        <x:v>0</x:v>
      </x:c>
      <x:c r="J52" s="29" t="n">
        <x:v>0</x:v>
      </x:c>
      <x:c r="K52" s="29" t="n">
        <x:v>0</x:v>
      </x:c>
      <x:c r="L52" s="29" t="n">
        <x:v>0</x:v>
      </x:c>
      <x:c r="M52" s="29" t="n">
        <x:v>1</x:v>
      </x:c>
      <x:c r="N52" s="29" t="n">
        <x:v>0</x:v>
      </x:c>
      <x:c r="O52" s="30" t="n">
        <x:v>0</x:v>
      </x:c>
    </x:row>
    <x:row r="53">
      <x:c r="A53" s="28" t="str">
        <x:v>Other</x:v>
      </x:c>
      <x:c r="B53" s="29" t="str">
        <x:v>Asthma bronchiale</x:v>
      </x:c>
      <x:c r="C53" s="29" t="n">
        <x:v>1</x:v>
      </x:c>
      <x:c r="D53" s="29" t="n">
        <x:v>0</x:v>
      </x:c>
      <x:c r="E53" s="29" t="n">
        <x:v>0</x:v>
      </x:c>
      <x:c r="F53" s="29" t="n">
        <x:v>0</x:v>
      </x:c>
      <x:c r="G53" s="29" t="n">
        <x:v>1</x:v>
      </x:c>
      <x:c r="H53" s="29" t="n">
        <x:v>0</x:v>
      </x:c>
      <x:c r="I53" s="29" t="n">
        <x:v>0</x:v>
      </x:c>
      <x:c r="J53" s="29" t="n">
        <x:v>0</x:v>
      </x:c>
      <x:c r="K53" s="29" t="n">
        <x:v>0</x:v>
      </x:c>
      <x:c r="L53" s="29" t="n">
        <x:v>0</x:v>
      </x:c>
      <x:c r="M53" s="29" t="n">
        <x:v>0</x:v>
      </x:c>
      <x:c r="N53" s="29" t="n">
        <x:v>0</x:v>
      </x:c>
      <x:c r="O53" s="30" t="n">
        <x:v>0</x:v>
      </x:c>
    </x:row>
    <x:row r="54">
      <x:c r="A54" s="28" t="str">
        <x:v>Other</x:v>
      </x:c>
      <x:c r="B54" s="29" t="str">
        <x:v>Vitamin B12 deficiency</x:v>
      </x:c>
      <x:c r="C54" s="29" t="n">
        <x:v>1</x:v>
      </x:c>
      <x:c r="D54" s="29" t="n">
        <x:v>0</x:v>
      </x:c>
      <x:c r="E54" s="29" t="n">
        <x:v>0</x:v>
      </x:c>
      <x:c r="F54" s="29" t="n">
        <x:v>0</x:v>
      </x:c>
      <x:c r="G54" s="29" t="n">
        <x:v>0</x:v>
      </x:c>
      <x:c r="H54" s="29" t="n">
        <x:v>0</x:v>
      </x:c>
      <x:c r="I54" s="29" t="n">
        <x:v>0</x:v>
      </x:c>
      <x:c r="J54" s="29" t="n">
        <x:v>1</x:v>
      </x:c>
      <x:c r="K54" s="29" t="n">
        <x:v>0</x:v>
      </x:c>
      <x:c r="L54" s="29" t="n">
        <x:v>0</x:v>
      </x:c>
      <x:c r="M54" s="29" t="n">
        <x:v>0</x:v>
      </x:c>
      <x:c r="N54" s="29" t="n">
        <x:v>0</x:v>
      </x:c>
      <x:c r="O54" s="30" t="n">
        <x:v>0</x:v>
      </x:c>
    </x:row>
    <x:row r="55">
      <x:c r="A55" s="28" t="str">
        <x:v>Other</x:v>
      </x:c>
      <x:c r="B55" s="29" t="str">
        <x:v>Sore throat</x:v>
      </x:c>
      <x:c r="C55" s="29" t="n">
        <x:v>1</x:v>
      </x:c>
      <x:c r="D55" s="29" t="n">
        <x:v>0</x:v>
      </x:c>
      <x:c r="E55" s="29" t="n">
        <x:v>0</x:v>
      </x:c>
      <x:c r="F55" s="29" t="n">
        <x:v>0</x:v>
      </x:c>
      <x:c r="G55" s="29" t="n">
        <x:v>0</x:v>
      </x:c>
      <x:c r="H55" s="29" t="n">
        <x:v>0</x:v>
      </x:c>
      <x:c r="I55" s="29" t="n">
        <x:v>0</x:v>
      </x:c>
      <x:c r="J55" s="29" t="n">
        <x:v>1</x:v>
      </x:c>
      <x:c r="K55" s="29" t="n">
        <x:v>0</x:v>
      </x:c>
      <x:c r="L55" s="29" t="n">
        <x:v>0</x:v>
      </x:c>
      <x:c r="M55" s="29" t="n">
        <x:v>0</x:v>
      </x:c>
      <x:c r="N55" s="29" t="n">
        <x:v>0</x:v>
      </x:c>
      <x:c r="O55" s="30" t="n">
        <x:v>0</x:v>
      </x:c>
    </x:row>
    <x:row r="56">
      <x:c r="A56" s="28" t="str">
        <x:v>Other</x:v>
      </x:c>
      <x:c r="B56" s="29" t="str">
        <x:v>Muscular complaints (thorax)</x:v>
      </x:c>
      <x:c r="C56" s="29" t="n">
        <x:v>1</x:v>
      </x:c>
      <x:c r="D56" s="29" t="n">
        <x:v>0</x:v>
      </x:c>
      <x:c r="E56" s="29" t="n">
        <x:v>0</x:v>
      </x:c>
      <x:c r="F56" s="29" t="n">
        <x:v>0</x:v>
      </x:c>
      <x:c r="G56" s="29" t="n">
        <x:v>1</x:v>
      </x:c>
      <x:c r="H56" s="29" t="n">
        <x:v>0</x:v>
      </x:c>
      <x:c r="I56" s="29" t="n">
        <x:v>0</x:v>
      </x:c>
      <x:c r="J56" s="29" t="n">
        <x:v>0</x:v>
      </x:c>
      <x:c r="K56" s="29" t="n">
        <x:v>0</x:v>
      </x:c>
      <x:c r="L56" s="29" t="n">
        <x:v>0</x:v>
      </x:c>
      <x:c r="M56" s="29" t="n">
        <x:v>0</x:v>
      </x:c>
      <x:c r="N56" s="29" t="n">
        <x:v>0</x:v>
      </x:c>
      <x:c r="O56" s="30" t="n">
        <x:v>0</x:v>
      </x:c>
    </x:row>
    <x:row r="57">
      <x:c r="A57" s="31" t="str">
        <x:v>Other</x:v>
      </x:c>
      <x:c r="B57" s="32" t="str">
        <x:v>Loss of appetite</x:v>
      </x:c>
      <x:c r="C57" s="32" t="n">
        <x:v>1</x:v>
      </x:c>
      <x:c r="D57" s="32" t="n">
        <x:v>0</x:v>
      </x:c>
      <x:c r="E57" s="32" t="n">
        <x:v>0</x:v>
      </x:c>
      <x:c r="F57" s="32" t="n">
        <x:v>0</x:v>
      </x:c>
      <x:c r="G57" s="32" t="n">
        <x:v>0</x:v>
      </x:c>
      <x:c r="H57" s="32" t="n">
        <x:v>0</x:v>
      </x:c>
      <x:c r="I57" s="32" t="n">
        <x:v>0</x:v>
      </x:c>
      <x:c r="J57" s="32" t="n">
        <x:v>0</x:v>
      </x:c>
      <x:c r="K57" s="32" t="n">
        <x:v>0</x:v>
      </x:c>
      <x:c r="L57" s="32" t="n">
        <x:v>0</x:v>
      </x:c>
      <x:c r="M57" s="32" t="n">
        <x:v>1</x:v>
      </x:c>
      <x:c r="N57" s="32" t="n">
        <x:v>1</x:v>
      </x:c>
      <x:c r="O57" s="33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610000610351562" hidden="0" customWidth="1"/>
    <x:col min="2" max="2" width="31.290000915527344" hidden="0" customWidth="1"/>
    <x:col min="16" max="16" width="50.91999816894531" hidden="0" customWidth="1"/>
    <x:col min="17" max="17" width="50.91999816894531" hidden="0" customWidth="1"/>
    <x:col min="18" max="18" width="50.91999816894531" hidden="0" customWidth="1"/>
    <x:col min="19" max="19" width="50.91999816894531" hidden="0" customWidth="1"/>
  </x:cols>
  <x:sheetData>
    <x:row r="1">
      <x:c r="A1" s="4" t="str">
        <x:v>Derived session and follow-up adverse events for Holze 2023 cross-over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>
      <x:c r="A2" t="str">
        <x:v>Session events exclude Between and W2; follow-up events are Between + W2. N=42 for both LSD and placebo because all participants contribute to both conditions in the cross-over.</x:v>
      </x:c>
    </x:row>
    <x:row r="3">
      <x:c r="A3" s="19" t="str">
        <x:v>section</x:v>
      </x:c>
      <x:c r="B3" s="20" t="str">
        <x:v>ae_term</x:v>
      </x:c>
      <x:c r="C3" s="20" t="str">
        <x:v>reported_total_check</x:v>
      </x:c>
      <x:c r="D3" s="20" t="str">
        <x:v>lsd_session_events</x:v>
      </x:c>
      <x:c r="E3" s="20" t="str">
        <x:v>placebo_session_events</x:v>
      </x:c>
      <x:c r="F3" s="20" t="str">
        <x:v>lsd_follow_up_events</x:v>
      </x:c>
      <x:c r="G3" s="20" t="str">
        <x:v>placebo_follow_up_events</x:v>
      </x:c>
      <x:c r="H3" s="20" t="str">
        <x:v>n_lsd_session</x:v>
      </x:c>
      <x:c r="I3" s="20" t="str">
        <x:v>n_placebo_session</x:v>
      </x:c>
      <x:c r="J3" s="20" t="str">
        <x:v>n_lsd_follow_up</x:v>
      </x:c>
      <x:c r="K3" s="20" t="str">
        <x:v>n_placebo_follow_up</x:v>
      </x:c>
      <x:c r="L3" s="20" t="str">
        <x:v>lsd_session_rate</x:v>
      </x:c>
      <x:c r="M3" s="20" t="str">
        <x:v>placebo_session_rate</x:v>
      </x:c>
      <x:c r="N3" s="20" t="str">
        <x:v>lsd_follow_up_rate</x:v>
      </x:c>
      <x:c r="O3" s="20" t="str">
        <x:v>placebo_follow_up_rate</x:v>
      </x:c>
      <x:c r="P3" s="20" t="str">
        <x:v>lsd_formula</x:v>
      </x:c>
      <x:c r="Q3" s="20" t="str">
        <x:v>placebo_formula</x:v>
      </x:c>
      <x:c r="R3" s="20" t="str">
        <x:v>lsd_follow_up_formula</x:v>
      </x:c>
      <x:c r="S3" s="21" t="str">
        <x:v>placebo_follow_up_formula</x:v>
      </x:c>
    </x:row>
    <x:row r="4">
      <x:c r="A4" s="28" t="str">
        <x:v>Psychiatric</x:v>
      </x:c>
      <x:c r="B4" s="29" t="str">
        <x:v>Insomnia</x:v>
      </x:c>
      <x:c r="C4" s="29" t="n">
        <x:v>0</x:v>
      </x:c>
      <x:c r="D4" s="29" t="n">
        <x:f>Raw_table_S8!D4-Raw_table_S8!E4-Raw_table_S8!F4+Raw_table_S8!J4-Raw_table_S8!K4-Raw_table_S8!L4</x:f>
        <x:v>3</x:v>
      </x:c>
      <x:c r="E4" s="29" t="n">
        <x:f>Raw_table_S8!G4-Raw_table_S8!H4-Raw_table_S8!I4+Raw_table_S8!M4-Raw_table_S8!N4-Raw_table_S8!O4</x:f>
        <x:v>3</x:v>
      </x:c>
      <x:c r="F4" s="29" t="n">
        <x:f>Raw_table_S8!E4+Raw_table_S8!F4+Raw_table_S8!K4+Raw_table_S8!L4</x:f>
        <x:v>0</x:v>
      </x:c>
      <x:c r="G4" s="29" t="n">
        <x:f>Raw_table_S8!H4+Raw_table_S8!I4+Raw_table_S8!N4+Raw_table_S8!O4</x:f>
        <x:v>1</x:v>
      </x:c>
      <x:c r="H4" s="29" t="n">
        <x:v>42</x:v>
      </x:c>
      <x:c r="I4" s="29" t="n">
        <x:v>42</x:v>
      </x:c>
      <x:c r="J4" s="29" t="n">
        <x:v>42</x:v>
      </x:c>
      <x:c r="K4" s="29" t="n">
        <x:v>42</x:v>
      </x:c>
      <x:c r="L4" s="34" t="n">
        <x:f>D4/H4</x:f>
        <x:v>0.07142857142857142</x:v>
      </x:c>
      <x:c r="M4" s="34" t="n">
        <x:f>E4/I4</x:f>
        <x:v>0.07142857142857142</x:v>
      </x:c>
      <x:c r="N4" s="34" t="n">
        <x:f>F4/J4</x:f>
        <x:v>0</x:v>
      </x:c>
      <x:c r="O4" s="34" t="n">
        <x:f>G4/K4</x:f>
        <x:v>0.023809523809523808</x:v>
      </x:c>
      <x:c r="P4" s="29" t="str">
        <x:v>(P1 LSD Total - P1 LSD Between - P1 LSD W2) + (P2 LSD Total - P2 LSD Between - P2 LSD W2)</x:v>
      </x:c>
      <x:c r="Q4" s="29" t="str">
        <x:v>(P1 Placebo Total - P1 Placebo Between - P1 Placebo W2) + (P2 Placebo Total - P2 Placebo Between - P2 Placebo W2)</x:v>
      </x:c>
      <x:c r="R4" s="29" t="str">
        <x:v>(P1 LSD Between + P1 LSD W2) + (P2 LSD Between + P2 LSD W2)</x:v>
      </x:c>
      <x:c r="S4" s="30" t="str">
        <x:v>(P1 Placebo Between + P1 Placebo W2) + (P2 Placebo Between + P2 Placebo W2)</x:v>
      </x:c>
    </x:row>
    <x:row r="5">
      <x:c r="A5" s="28" t="str">
        <x:v>Psychiatric</x:v>
      </x:c>
      <x:c r="B5" s="29" t="str">
        <x:v>Depression</x:v>
      </x:c>
      <x:c r="C5" s="29" t="n">
        <x:v>0</x:v>
      </x:c>
      <x:c r="D5" s="29" t="n">
        <x:f>Raw_table_S8!D5-Raw_table_S8!E5-Raw_table_S8!F5+Raw_table_S8!J5-Raw_table_S8!K5-Raw_table_S8!L5</x:f>
        <x:v>2</x:v>
      </x:c>
      <x:c r="E5" s="29" t="n">
        <x:f>Raw_table_S8!G5-Raw_table_S8!H5-Raw_table_S8!I5+Raw_table_S8!M5-Raw_table_S8!N5-Raw_table_S8!O5</x:f>
        <x:v>1</x:v>
      </x:c>
      <x:c r="F5" s="29" t="n">
        <x:f>Raw_table_S8!E5+Raw_table_S8!F5+Raw_table_S8!K5+Raw_table_S8!L5</x:f>
        <x:v>0</x:v>
      </x:c>
      <x:c r="G5" s="29" t="n">
        <x:f>Raw_table_S8!H5+Raw_table_S8!I5+Raw_table_S8!N5+Raw_table_S8!O5</x:f>
        <x:v>0</x:v>
      </x:c>
      <x:c r="H5" s="29" t="n">
        <x:v>42</x:v>
      </x:c>
      <x:c r="I5" s="29" t="n">
        <x:v>42</x:v>
      </x:c>
      <x:c r="J5" s="29" t="n">
        <x:v>42</x:v>
      </x:c>
      <x:c r="K5" s="29" t="n">
        <x:v>42</x:v>
      </x:c>
      <x:c r="L5" s="34" t="n">
        <x:f>D5/H5</x:f>
        <x:v>0.047619047619047616</x:v>
      </x:c>
      <x:c r="M5" s="34" t="n">
        <x:f>E5/I5</x:f>
        <x:v>0.023809523809523808</x:v>
      </x:c>
      <x:c r="N5" s="34" t="n">
        <x:f>F5/J5</x:f>
        <x:v>0</x:v>
      </x:c>
      <x:c r="O5" s="34" t="n">
        <x:f>G5/K5</x:f>
        <x:v>0</x:v>
      </x:c>
      <x:c r="P5" s="29" t="str">
        <x:v>(P1 LSD Total - P1 LSD Between - P1 LSD W2) + (P2 LSD Total - P2 LSD Between - P2 LSD W2)</x:v>
      </x:c>
      <x:c r="Q5" s="29" t="str">
        <x:v>(P1 Placebo Total - P1 Placebo Between - P1 Placebo W2) + (P2 Placebo Total - P2 Placebo Between - P2 Placebo W2)</x:v>
      </x:c>
      <x:c r="R5" s="29" t="str">
        <x:v>(P1 LSD Between + P1 LSD W2) + (P2 LSD Between + P2 LSD W2)</x:v>
      </x:c>
      <x:c r="S5" s="30" t="str">
        <x:v>(P1 Placebo Between + P1 Placebo W2) + (P2 Placebo Between + P2 Placebo W2)</x:v>
      </x:c>
    </x:row>
    <x:row r="6">
      <x:c r="A6" s="28" t="str">
        <x:v>Psychiatric</x:v>
      </x:c>
      <x:c r="B6" s="29" t="str">
        <x:v>Anxiety attack</x:v>
      </x:c>
      <x:c r="C6" s="29" t="n">
        <x:v>0</x:v>
      </x:c>
      <x:c r="D6" s="29" t="n">
        <x:f>Raw_table_S8!D6-Raw_table_S8!E6-Raw_table_S8!F6+Raw_table_S8!J6-Raw_table_S8!K6-Raw_table_S8!L6</x:f>
        <x:v>2</x:v>
      </x:c>
      <x:c r="E6" s="29" t="n">
        <x:f>Raw_table_S8!G6-Raw_table_S8!H6-Raw_table_S8!I6+Raw_table_S8!M6-Raw_table_S8!N6-Raw_table_S8!O6</x:f>
        <x:v>0</x:v>
      </x:c>
      <x:c r="F6" s="29" t="n">
        <x:f>Raw_table_S8!E6+Raw_table_S8!F6+Raw_table_S8!K6+Raw_table_S8!L6</x:f>
        <x:v>0</x:v>
      </x:c>
      <x:c r="G6" s="29" t="n">
        <x:f>Raw_table_S8!H6+Raw_table_S8!I6+Raw_table_S8!N6+Raw_table_S8!O6</x:f>
        <x:v>0</x:v>
      </x:c>
      <x:c r="H6" s="29" t="n">
        <x:v>42</x:v>
      </x:c>
      <x:c r="I6" s="29" t="n">
        <x:v>42</x:v>
      </x:c>
      <x:c r="J6" s="29" t="n">
        <x:v>42</x:v>
      </x:c>
      <x:c r="K6" s="29" t="n">
        <x:v>42</x:v>
      </x:c>
      <x:c r="L6" s="34" t="n">
        <x:f>D6/H6</x:f>
        <x:v>0.047619047619047616</x:v>
      </x:c>
      <x:c r="M6" s="34" t="n">
        <x:f>E6/I6</x:f>
        <x:v>0</x:v>
      </x:c>
      <x:c r="N6" s="34" t="n">
        <x:f>F6/J6</x:f>
        <x:v>0</x:v>
      </x:c>
      <x:c r="O6" s="34" t="n">
        <x:f>G6/K6</x:f>
        <x:v>0</x:v>
      </x:c>
      <x:c r="P6" s="29" t="str">
        <x:v>(P1 LSD Total - P1 LSD Between - P1 LSD W2) + (P2 LSD Total - P2 LSD Between - P2 LSD W2)</x:v>
      </x:c>
      <x:c r="Q6" s="29" t="str">
        <x:v>(P1 Placebo Total - P1 Placebo Between - P1 Placebo W2) + (P2 Placebo Total - P2 Placebo Between - P2 Placebo W2)</x:v>
      </x:c>
      <x:c r="R6" s="29" t="str">
        <x:v>(P1 LSD Between + P1 LSD W2) + (P2 LSD Between + P2 LSD W2)</x:v>
      </x:c>
      <x:c r="S6" s="30" t="str">
        <x:v>(P1 Placebo Between + P1 Placebo W2) + (P2 Placebo Between + P2 Placebo W2)</x:v>
      </x:c>
    </x:row>
    <x:row r="7">
      <x:c r="A7" s="28" t="str">
        <x:v>Psychiatric</x:v>
      </x:c>
      <x:c r="B7" s="29" t="str">
        <x:v>Compulsive thoughts</x:v>
      </x:c>
      <x:c r="C7" s="29" t="n">
        <x:v>0</x:v>
      </x:c>
      <x:c r="D7" s="29" t="n">
        <x:f>Raw_table_S8!D7-Raw_table_S8!E7-Raw_table_S8!F7+Raw_table_S8!J7-Raw_table_S8!K7-Raw_table_S8!L7</x:f>
        <x:v>1</x:v>
      </x:c>
      <x:c r="E7" s="29" t="n">
        <x:f>Raw_table_S8!G7-Raw_table_S8!H7-Raw_table_S8!I7+Raw_table_S8!M7-Raw_table_S8!N7-Raw_table_S8!O7</x:f>
        <x:v>0</x:v>
      </x:c>
      <x:c r="F7" s="29" t="n">
        <x:f>Raw_table_S8!E7+Raw_table_S8!F7+Raw_table_S8!K7+Raw_table_S8!L7</x:f>
        <x:v>0</x:v>
      </x:c>
      <x:c r="G7" s="29" t="n">
        <x:f>Raw_table_S8!H7+Raw_table_S8!I7+Raw_table_S8!N7+Raw_table_S8!O7</x:f>
        <x:v>0</x:v>
      </x:c>
      <x:c r="H7" s="29" t="n">
        <x:v>42</x:v>
      </x:c>
      <x:c r="I7" s="29" t="n">
        <x:v>42</x:v>
      </x:c>
      <x:c r="J7" s="29" t="n">
        <x:v>42</x:v>
      </x:c>
      <x:c r="K7" s="29" t="n">
        <x:v>42</x:v>
      </x:c>
      <x:c r="L7" s="34" t="n">
        <x:f>D7/H7</x:f>
        <x:v>0.023809523809523808</x:v>
      </x:c>
      <x:c r="M7" s="34" t="n">
        <x:f>E7/I7</x:f>
        <x:v>0</x:v>
      </x:c>
      <x:c r="N7" s="34" t="n">
        <x:f>F7/J7</x:f>
        <x:v>0</x:v>
      </x:c>
      <x:c r="O7" s="34" t="n">
        <x:f>G7/K7</x:f>
        <x:v>0</x:v>
      </x:c>
      <x:c r="P7" s="29" t="str">
        <x:v>(P1 LSD Total - P1 LSD Between - P1 LSD W2) + (P2 LSD Total - P2 LSD Between - P2 LSD W2)</x:v>
      </x:c>
      <x:c r="Q7" s="29" t="str">
        <x:v>(P1 Placebo Total - P1 Placebo Between - P1 Placebo W2) + (P2 Placebo Total - P2 Placebo Between - P2 Placebo W2)</x:v>
      </x:c>
      <x:c r="R7" s="29" t="str">
        <x:v>(P1 LSD Between + P1 LSD W2) + (P2 LSD Between + P2 LSD W2)</x:v>
      </x:c>
      <x:c r="S7" s="30" t="str">
        <x:v>(P1 Placebo Between + P1 Placebo W2) + (P2 Placebo Between + P2 Placebo W2)</x:v>
      </x:c>
    </x:row>
    <x:row r="8">
      <x:c r="A8" s="28" t="str">
        <x:v>Psychiatric</x:v>
      </x:c>
      <x:c r="B8" s="29" t="str">
        <x:v>Confusion</x:v>
      </x:c>
      <x:c r="C8" s="29" t="n">
        <x:v>0</x:v>
      </x:c>
      <x:c r="D8" s="29" t="n">
        <x:f>Raw_table_S8!D8-Raw_table_S8!E8-Raw_table_S8!F8+Raw_table_S8!J8-Raw_table_S8!K8-Raw_table_S8!L8</x:f>
        <x:v>0</x:v>
      </x:c>
      <x:c r="E8" s="29" t="n">
        <x:f>Raw_table_S8!G8-Raw_table_S8!H8-Raw_table_S8!I8+Raw_table_S8!M8-Raw_table_S8!N8-Raw_table_S8!O8</x:f>
        <x:v>0</x:v>
      </x:c>
      <x:c r="F8" s="29" t="n">
        <x:f>Raw_table_S8!E8+Raw_table_S8!F8+Raw_table_S8!K8+Raw_table_S8!L8</x:f>
        <x:v>0</x:v>
      </x:c>
      <x:c r="G8" s="29" t="n">
        <x:f>Raw_table_S8!H8+Raw_table_S8!I8+Raw_table_S8!N8+Raw_table_S8!O8</x:f>
        <x:v>1</x:v>
      </x:c>
      <x:c r="H8" s="29" t="n">
        <x:v>42</x:v>
      </x:c>
      <x:c r="I8" s="29" t="n">
        <x:v>42</x:v>
      </x:c>
      <x:c r="J8" s="29" t="n">
        <x:v>42</x:v>
      </x:c>
      <x:c r="K8" s="29" t="n">
        <x:v>42</x:v>
      </x:c>
      <x:c r="L8" s="34" t="n">
        <x:f>D8/H8</x:f>
        <x:v>0</x:v>
      </x:c>
      <x:c r="M8" s="34" t="n">
        <x:f>E8/I8</x:f>
        <x:v>0</x:v>
      </x:c>
      <x:c r="N8" s="34" t="n">
        <x:f>F8/J8</x:f>
        <x:v>0</x:v>
      </x:c>
      <x:c r="O8" s="34" t="n">
        <x:f>G8/K8</x:f>
        <x:v>0.023809523809523808</x:v>
      </x:c>
      <x:c r="P8" s="29" t="str">
        <x:v>(P1 LSD Total - P1 LSD Between - P1 LSD W2) + (P2 LSD Total - P2 LSD Between - P2 LSD W2)</x:v>
      </x:c>
      <x:c r="Q8" s="29" t="str">
        <x:v>(P1 Placebo Total - P1 Placebo Between - P1 Placebo W2) + (P2 Placebo Total - P2 Placebo Between - P2 Placebo W2)</x:v>
      </x:c>
      <x:c r="R8" s="29" t="str">
        <x:v>(P1 LSD Between + P1 LSD W2) + (P2 LSD Between + P2 LSD W2)</x:v>
      </x:c>
      <x:c r="S8" s="30" t="str">
        <x:v>(P1 Placebo Between + P1 Placebo W2) + (P2 Placebo Between + P2 Placebo W2)</x:v>
      </x:c>
    </x:row>
    <x:row r="9">
      <x:c r="A9" s="28" t="str">
        <x:v>Psychiatric</x:v>
      </x:c>
      <x:c r="B9" s="29" t="str">
        <x:v>Restlessness</x:v>
      </x:c>
      <x:c r="C9" s="29" t="n">
        <x:v>0</x:v>
      </x:c>
      <x:c r="D9" s="29" t="n">
        <x:f>Raw_table_S8!D9-Raw_table_S8!E9-Raw_table_S8!F9+Raw_table_S8!J9-Raw_table_S8!K9-Raw_table_S8!L9</x:f>
        <x:v>1</x:v>
      </x:c>
      <x:c r="E9" s="29" t="n">
        <x:f>Raw_table_S8!G9-Raw_table_S8!H9-Raw_table_S8!I9+Raw_table_S8!M9-Raw_table_S8!N9-Raw_table_S8!O9</x:f>
        <x:v>0</x:v>
      </x:c>
      <x:c r="F9" s="29" t="n">
        <x:f>Raw_table_S8!E9+Raw_table_S8!F9+Raw_table_S8!K9+Raw_table_S8!L9</x:f>
        <x:v>0</x:v>
      </x:c>
      <x:c r="G9" s="29" t="n">
        <x:f>Raw_table_S8!H9+Raw_table_S8!I9+Raw_table_S8!N9+Raw_table_S8!O9</x:f>
        <x:v>0</x:v>
      </x:c>
      <x:c r="H9" s="29" t="n">
        <x:v>42</x:v>
      </x:c>
      <x:c r="I9" s="29" t="n">
        <x:v>42</x:v>
      </x:c>
      <x:c r="J9" s="29" t="n">
        <x:v>42</x:v>
      </x:c>
      <x:c r="K9" s="29" t="n">
        <x:v>42</x:v>
      </x:c>
      <x:c r="L9" s="34" t="n">
        <x:f>D9/H9</x:f>
        <x:v>0.023809523809523808</x:v>
      </x:c>
      <x:c r="M9" s="34" t="n">
        <x:f>E9/I9</x:f>
        <x:v>0</x:v>
      </x:c>
      <x:c r="N9" s="34" t="n">
        <x:f>F9/J9</x:f>
        <x:v>0</x:v>
      </x:c>
      <x:c r="O9" s="34" t="n">
        <x:f>G9/K9</x:f>
        <x:v>0</x:v>
      </x:c>
      <x:c r="P9" s="29" t="str">
        <x:v>(P1 LSD Total - P1 LSD Between - P1 LSD W2) + (P2 LSD Total - P2 LSD Between - P2 LSD W2)</x:v>
      </x:c>
      <x:c r="Q9" s="29" t="str">
        <x:v>(P1 Placebo Total - P1 Placebo Between - P1 Placebo W2) + (P2 Placebo Total - P2 Placebo Between - P2 Placebo W2)</x:v>
      </x:c>
      <x:c r="R9" s="29" t="str">
        <x:v>(P1 LSD Between + P1 LSD W2) + (P2 LSD Between + P2 LSD W2)</x:v>
      </x:c>
      <x:c r="S9" s="30" t="str">
        <x:v>(P1 Placebo Between + P1 Placebo W2) + (P2 Placebo Between + P2 Placebo W2)</x:v>
      </x:c>
    </x:row>
    <x:row r="10">
      <x:c r="A10" s="28" t="str">
        <x:v>Psychiatric</x:v>
      </x:c>
      <x:c r="B10" s="29" t="str">
        <x:v>Psychosomatic complaints</x:v>
      </x:c>
      <x:c r="C10" s="29" t="n">
        <x:v>0</x:v>
      </x:c>
      <x:c r="D10" s="29" t="n">
        <x:f>Raw_table_S8!D10-Raw_table_S8!E10-Raw_table_S8!F10+Raw_table_S8!J10-Raw_table_S8!K10-Raw_table_S8!L10</x:f>
        <x:v>0</x:v>
      </x:c>
      <x:c r="E10" s="29" t="n">
        <x:f>Raw_table_S8!G10-Raw_table_S8!H10-Raw_table_S8!I10+Raw_table_S8!M10-Raw_table_S8!N10-Raw_table_S8!O10</x:f>
        <x:v>0</x:v>
      </x:c>
      <x:c r="F10" s="29" t="n">
        <x:f>Raw_table_S8!E10+Raw_table_S8!F10+Raw_table_S8!K10+Raw_table_S8!L10</x:f>
        <x:v>0</x:v>
      </x:c>
      <x:c r="G10" s="29" t="n">
        <x:f>Raw_table_S8!H10+Raw_table_S8!I10+Raw_table_S8!N10+Raw_table_S8!O10</x:f>
        <x:v>1</x:v>
      </x:c>
      <x:c r="H10" s="29" t="n">
        <x:v>42</x:v>
      </x:c>
      <x:c r="I10" s="29" t="n">
        <x:v>42</x:v>
      </x:c>
      <x:c r="J10" s="29" t="n">
        <x:v>42</x:v>
      </x:c>
      <x:c r="K10" s="29" t="n">
        <x:v>42</x:v>
      </x:c>
      <x:c r="L10" s="34" t="n">
        <x:f>D10/H10</x:f>
        <x:v>0</x:v>
      </x:c>
      <x:c r="M10" s="34" t="n">
        <x:f>E10/I10</x:f>
        <x:v>0</x:v>
      </x:c>
      <x:c r="N10" s="34" t="n">
        <x:f>F10/J10</x:f>
        <x:v>0</x:v>
      </x:c>
      <x:c r="O10" s="34" t="n">
        <x:f>G10/K10</x:f>
        <x:v>0.023809523809523808</x:v>
      </x:c>
      <x:c r="P10" s="29" t="str">
        <x:v>(P1 LSD Total - P1 LSD Between - P1 LSD W2) + (P2 LSD Total - P2 LSD Between - P2 LSD W2)</x:v>
      </x:c>
      <x:c r="Q10" s="29" t="str">
        <x:v>(P1 Placebo Total - P1 Placebo Between - P1 Placebo W2) + (P2 Placebo Total - P2 Placebo Between - P2 Placebo W2)</x:v>
      </x:c>
      <x:c r="R10" s="29" t="str">
        <x:v>(P1 LSD Between + P1 LSD W2) + (P2 LSD Between + P2 LSD W2)</x:v>
      </x:c>
      <x:c r="S10" s="30" t="str">
        <x:v>(P1 Placebo Between + P1 Placebo W2) + (P2 Placebo Between + P2 Placebo W2)</x:v>
      </x:c>
    </x:row>
    <x:row r="11">
      <x:c r="A11" s="28" t="str">
        <x:v>Psychiatric</x:v>
      </x:c>
      <x:c r="B11" s="29" t="str">
        <x:v>Depression, suicidal thoughts</x:v>
      </x:c>
      <x:c r="C11" s="29" t="n">
        <x:v>0</x:v>
      </x:c>
      <x:c r="D11" s="29" t="n">
        <x:f>Raw_table_S8!D11-Raw_table_S8!E11-Raw_table_S8!F11+Raw_table_S8!J11-Raw_table_S8!K11-Raw_table_S8!L11</x:f>
        <x:v>1</x:v>
      </x:c>
      <x:c r="E11" s="29" t="n">
        <x:f>Raw_table_S8!G11-Raw_table_S8!H11-Raw_table_S8!I11+Raw_table_S8!M11-Raw_table_S8!N11-Raw_table_S8!O11</x:f>
        <x:v>0</x:v>
      </x:c>
      <x:c r="F11" s="29" t="n">
        <x:f>Raw_table_S8!E11+Raw_table_S8!F11+Raw_table_S8!K11+Raw_table_S8!L11</x:f>
        <x:v>0</x:v>
      </x:c>
      <x:c r="G11" s="29" t="n">
        <x:f>Raw_table_S8!H11+Raw_table_S8!I11+Raw_table_S8!N11+Raw_table_S8!O11</x:f>
        <x:v>0</x:v>
      </x:c>
      <x:c r="H11" s="29" t="n">
        <x:v>42</x:v>
      </x:c>
      <x:c r="I11" s="29" t="n">
        <x:v>42</x:v>
      </x:c>
      <x:c r="J11" s="29" t="n">
        <x:v>42</x:v>
      </x:c>
      <x:c r="K11" s="29" t="n">
        <x:v>42</x:v>
      </x:c>
      <x:c r="L11" s="34" t="n">
        <x:f>D11/H11</x:f>
        <x:v>0.023809523809523808</x:v>
      </x:c>
      <x:c r="M11" s="34" t="n">
        <x:f>E11/I11</x:f>
        <x:v>0</x:v>
      </x:c>
      <x:c r="N11" s="34" t="n">
        <x:f>F11/J11</x:f>
        <x:v>0</x:v>
      </x:c>
      <x:c r="O11" s="34" t="n">
        <x:f>G11/K11</x:f>
        <x:v>0</x:v>
      </x:c>
      <x:c r="P11" s="29" t="str">
        <x:v>(P1 LSD Total - P1 LSD Between - P1 LSD W2) + (P2 LSD Total - P2 LSD Between - P2 LSD W2)</x:v>
      </x:c>
      <x:c r="Q11" s="29" t="str">
        <x:v>(P1 Placebo Total - P1 Placebo Between - P1 Placebo W2) + (P2 Placebo Total - P2 Placebo Between - P2 Placebo W2)</x:v>
      </x:c>
      <x:c r="R11" s="29" t="str">
        <x:v>(P1 LSD Between + P1 LSD W2) + (P2 LSD Between + P2 LSD W2)</x:v>
      </x:c>
      <x:c r="S11" s="30" t="str">
        <x:v>(P1 Placebo Between + P1 Placebo W2) + (P2 Placebo Between + P2 Placebo W2)</x:v>
      </x:c>
    </x:row>
    <x:row r="12">
      <x:c r="A12" s="28" t="str">
        <x:v>Psychiatric</x:v>
      </x:c>
      <x:c r="B12" s="29" t="str">
        <x:v>Nightmares</x:v>
      </x:c>
      <x:c r="C12" s="29" t="n">
        <x:v>0</x:v>
      </x:c>
      <x:c r="D12" s="29" t="n">
        <x:f>Raw_table_S8!D12-Raw_table_S8!E12-Raw_table_S8!F12+Raw_table_S8!J12-Raw_table_S8!K12-Raw_table_S8!L12</x:f>
        <x:v>1</x:v>
      </x:c>
      <x:c r="E12" s="29" t="n">
        <x:f>Raw_table_S8!G12-Raw_table_S8!H12-Raw_table_S8!I12+Raw_table_S8!M12-Raw_table_S8!N12-Raw_table_S8!O12</x:f>
        <x:v>0</x:v>
      </x:c>
      <x:c r="F12" s="29" t="n">
        <x:f>Raw_table_S8!E12+Raw_table_S8!F12+Raw_table_S8!K12+Raw_table_S8!L12</x:f>
        <x:v>0</x:v>
      </x:c>
      <x:c r="G12" s="29" t="n">
        <x:f>Raw_table_S8!H12+Raw_table_S8!I12+Raw_table_S8!N12+Raw_table_S8!O12</x:f>
        <x:v>0</x:v>
      </x:c>
      <x:c r="H12" s="29" t="n">
        <x:v>42</x:v>
      </x:c>
      <x:c r="I12" s="29" t="n">
        <x:v>42</x:v>
      </x:c>
      <x:c r="J12" s="29" t="n">
        <x:v>42</x:v>
      </x:c>
      <x:c r="K12" s="29" t="n">
        <x:v>42</x:v>
      </x:c>
      <x:c r="L12" s="34" t="n">
        <x:f>D12/H12</x:f>
        <x:v>0.023809523809523808</x:v>
      </x:c>
      <x:c r="M12" s="34" t="n">
        <x:f>E12/I12</x:f>
        <x:v>0</x:v>
      </x:c>
      <x:c r="N12" s="34" t="n">
        <x:f>F12/J12</x:f>
        <x:v>0</x:v>
      </x:c>
      <x:c r="O12" s="34" t="n">
        <x:f>G12/K12</x:f>
        <x:v>0</x:v>
      </x:c>
      <x:c r="P12" s="29" t="str">
        <x:v>(P1 LSD Total - P1 LSD Between - P1 LSD W2) + (P2 LSD Total - P2 LSD Between - P2 LSD W2)</x:v>
      </x:c>
      <x:c r="Q12" s="29" t="str">
        <x:v>(P1 Placebo Total - P1 Placebo Between - P1 Placebo W2) + (P2 Placebo Total - P2 Placebo Between - P2 Placebo W2)</x:v>
      </x:c>
      <x:c r="R12" s="29" t="str">
        <x:v>(P1 LSD Between + P1 LSD W2) + (P2 LSD Between + P2 LSD W2)</x:v>
      </x:c>
      <x:c r="S12" s="30" t="str">
        <x:v>(P1 Placebo Between + P1 Placebo W2) + (P2 Placebo Between + P2 Placebo W2)</x:v>
      </x:c>
    </x:row>
    <x:row r="13">
      <x:c r="A13" s="28" t="str">
        <x:v>Due to underlying life-threatening illness</x:v>
      </x:c>
      <x:c r="B13" s="29" t="str">
        <x:v>Tumorrelapse</x:v>
      </x:c>
      <x:c r="C13" s="29" t="n">
        <x:v>0</x:v>
      </x:c>
      <x:c r="D13" s="29" t="n">
        <x:f>Raw_table_S8!D13-Raw_table_S8!E13-Raw_table_S8!F13+Raw_table_S8!J13-Raw_table_S8!K13-Raw_table_S8!L13</x:f>
        <x:v>0</x:v>
      </x:c>
      <x:c r="E13" s="29" t="n">
        <x:f>Raw_table_S8!G13-Raw_table_S8!H13-Raw_table_S8!I13+Raw_table_S8!M13-Raw_table_S8!N13-Raw_table_S8!O13</x:f>
        <x:v>0</x:v>
      </x:c>
      <x:c r="F13" s="29" t="n">
        <x:f>Raw_table_S8!E13+Raw_table_S8!F13+Raw_table_S8!K13+Raw_table_S8!L13</x:f>
        <x:v>0</x:v>
      </x:c>
      <x:c r="G13" s="29" t="n">
        <x:f>Raw_table_S8!H13+Raw_table_S8!I13+Raw_table_S8!N13+Raw_table_S8!O13</x:f>
        <x:v>1</x:v>
      </x:c>
      <x:c r="H13" s="29" t="n">
        <x:v>42</x:v>
      </x:c>
      <x:c r="I13" s="29" t="n">
        <x:v>42</x:v>
      </x:c>
      <x:c r="J13" s="29" t="n">
        <x:v>42</x:v>
      </x:c>
      <x:c r="K13" s="29" t="n">
        <x:v>42</x:v>
      </x:c>
      <x:c r="L13" s="34" t="n">
        <x:f>D13/H13</x:f>
        <x:v>0</x:v>
      </x:c>
      <x:c r="M13" s="34" t="n">
        <x:f>E13/I13</x:f>
        <x:v>0</x:v>
      </x:c>
      <x:c r="N13" s="34" t="n">
        <x:f>F13/J13</x:f>
        <x:v>0</x:v>
      </x:c>
      <x:c r="O13" s="34" t="n">
        <x:f>G13/K13</x:f>
        <x:v>0.023809523809523808</x:v>
      </x:c>
      <x:c r="P13" s="29" t="str">
        <x:v>(P1 LSD Total - P1 LSD Between - P1 LSD W2) + (P2 LSD Total - P2 LSD Between - P2 LSD W2)</x:v>
      </x:c>
      <x:c r="Q13" s="29" t="str">
        <x:v>(P1 Placebo Total - P1 Placebo Between - P1 Placebo W2) + (P2 Placebo Total - P2 Placebo Between - P2 Placebo W2)</x:v>
      </x:c>
      <x:c r="R13" s="29" t="str">
        <x:v>(P1 LSD Between + P1 LSD W2) + (P2 LSD Between + P2 LSD W2)</x:v>
      </x:c>
      <x:c r="S13" s="30" t="str">
        <x:v>(P1 Placebo Between + P1 Placebo W2) + (P2 Placebo Between + P2 Placebo W2)</x:v>
      </x:c>
    </x:row>
    <x:row r="14">
      <x:c r="A14" s="28" t="str">
        <x:v>Due to underlying life-threatening illness</x:v>
      </x:c>
      <x:c r="B14" s="29" t="str">
        <x:v>Rejection reaction</x:v>
      </x:c>
      <x:c r="C14" s="29" t="n">
        <x:v>0</x:v>
      </x:c>
      <x:c r="D14" s="29" t="n">
        <x:f>Raw_table_S8!D14-Raw_table_S8!E14-Raw_table_S8!F14+Raw_table_S8!J14-Raw_table_S8!K14-Raw_table_S8!L14</x:f>
        <x:v>0</x:v>
      </x:c>
      <x:c r="E14" s="29" t="n">
        <x:f>Raw_table_S8!G14-Raw_table_S8!H14-Raw_table_S8!I14+Raw_table_S8!M14-Raw_table_S8!N14-Raw_table_S8!O14</x:f>
        <x:v>1</x:v>
      </x:c>
      <x:c r="F14" s="29" t="n">
        <x:f>Raw_table_S8!E14+Raw_table_S8!F14+Raw_table_S8!K14+Raw_table_S8!L14</x:f>
        <x:v>0</x:v>
      </x:c>
      <x:c r="G14" s="29" t="n">
        <x:f>Raw_table_S8!H14+Raw_table_S8!I14+Raw_table_S8!N14+Raw_table_S8!O14</x:f>
        <x:v>0</x:v>
      </x:c>
      <x:c r="H14" s="29" t="n">
        <x:v>42</x:v>
      </x:c>
      <x:c r="I14" s="29" t="n">
        <x:v>42</x:v>
      </x:c>
      <x:c r="J14" s="29" t="n">
        <x:v>42</x:v>
      </x:c>
      <x:c r="K14" s="29" t="n">
        <x:v>42</x:v>
      </x:c>
      <x:c r="L14" s="34" t="n">
        <x:f>D14/H14</x:f>
        <x:v>0</x:v>
      </x:c>
      <x:c r="M14" s="34" t="n">
        <x:f>E14/I14</x:f>
        <x:v>0.023809523809523808</x:v>
      </x:c>
      <x:c r="N14" s="34" t="n">
        <x:f>F14/J14</x:f>
        <x:v>0</x:v>
      </x:c>
      <x:c r="O14" s="34" t="n">
        <x:f>G14/K14</x:f>
        <x:v>0</x:v>
      </x:c>
      <x:c r="P14" s="29" t="str">
        <x:v>(P1 LSD Total - P1 LSD Between - P1 LSD W2) + (P2 LSD Total - P2 LSD Between - P2 LSD W2)</x:v>
      </x:c>
      <x:c r="Q14" s="29" t="str">
        <x:v>(P1 Placebo Total - P1 Placebo Between - P1 Placebo W2) + (P2 Placebo Total - P2 Placebo Between - P2 Placebo W2)</x:v>
      </x:c>
      <x:c r="R14" s="29" t="str">
        <x:v>(P1 LSD Between + P1 LSD W2) + (P2 LSD Between + P2 LSD W2)</x:v>
      </x:c>
      <x:c r="S14" s="30" t="str">
        <x:v>(P1 Placebo Between + P1 Placebo W2) + (P2 Placebo Between + P2 Placebo W2)</x:v>
      </x:c>
    </x:row>
    <x:row r="15">
      <x:c r="A15" s="28" t="str">
        <x:v>Due to underlying life-threatening illness</x:v>
      </x:c>
      <x:c r="B15" s="29" t="str">
        <x:v>Tumorprogression</x:v>
      </x:c>
      <x:c r="C15" s="29" t="n">
        <x:v>0</x:v>
      </x:c>
      <x:c r="D15" s="29" t="n">
        <x:f>Raw_table_S8!D15-Raw_table_S8!E15-Raw_table_S8!F15+Raw_table_S8!J15-Raw_table_S8!K15-Raw_table_S8!L15</x:f>
        <x:v>0</x:v>
      </x:c>
      <x:c r="E15" s="29" t="n">
        <x:f>Raw_table_S8!G15-Raw_table_S8!H15-Raw_table_S8!I15+Raw_table_S8!M15-Raw_table_S8!N15-Raw_table_S8!O15</x:f>
        <x:v>0</x:v>
      </x:c>
      <x:c r="F15" s="29" t="n">
        <x:f>Raw_table_S8!E15+Raw_table_S8!F15+Raw_table_S8!K15+Raw_table_S8!L15</x:f>
        <x:v>0</x:v>
      </x:c>
      <x:c r="G15" s="29" t="n">
        <x:f>Raw_table_S8!H15+Raw_table_S8!I15+Raw_table_S8!N15+Raw_table_S8!O15</x:f>
        <x:v>1</x:v>
      </x:c>
      <x:c r="H15" s="29" t="n">
        <x:v>42</x:v>
      </x:c>
      <x:c r="I15" s="29" t="n">
        <x:v>42</x:v>
      </x:c>
      <x:c r="J15" s="29" t="n">
        <x:v>42</x:v>
      </x:c>
      <x:c r="K15" s="29" t="n">
        <x:v>42</x:v>
      </x:c>
      <x:c r="L15" s="34" t="n">
        <x:f>D15/H15</x:f>
        <x:v>0</x:v>
      </x:c>
      <x:c r="M15" s="34" t="n">
        <x:f>E15/I15</x:f>
        <x:v>0</x:v>
      </x:c>
      <x:c r="N15" s="34" t="n">
        <x:f>F15/J15</x:f>
        <x:v>0</x:v>
      </x:c>
      <x:c r="O15" s="34" t="n">
        <x:f>G15/K15</x:f>
        <x:v>0.023809523809523808</x:v>
      </x:c>
      <x:c r="P15" s="29" t="str">
        <x:v>(P1 LSD Total - P1 LSD Between - P1 LSD W2) + (P2 LSD Total - P2 LSD Between - P2 LSD W2)</x:v>
      </x:c>
      <x:c r="Q15" s="29" t="str">
        <x:v>(P1 Placebo Total - P1 Placebo Between - P1 Placebo W2) + (P2 Placebo Total - P2 Placebo Between - P2 Placebo W2)</x:v>
      </x:c>
      <x:c r="R15" s="29" t="str">
        <x:v>(P1 LSD Between + P1 LSD W2) + (P2 LSD Between + P2 LSD W2)</x:v>
      </x:c>
      <x:c r="S15" s="30" t="str">
        <x:v>(P1 Placebo Between + P1 Placebo W2) + (P2 Placebo Between + P2 Placebo W2)</x:v>
      </x:c>
    </x:row>
    <x:row r="16">
      <x:c r="A16" s="28" t="str">
        <x:v>Due to underlying life-threatening illness</x:v>
      </x:c>
      <x:c r="B16" s="29" t="str">
        <x:v>Polyneuropathy</x:v>
      </x:c>
      <x:c r="C16" s="29" t="n">
        <x:v>0</x:v>
      </x:c>
      <x:c r="D16" s="29" t="n">
        <x:f>Raw_table_S8!D16-Raw_table_S8!E16-Raw_table_S8!F16+Raw_table_S8!J16-Raw_table_S8!K16-Raw_table_S8!L16</x:f>
        <x:v>0</x:v>
      </x:c>
      <x:c r="E16" s="29" t="n">
        <x:f>Raw_table_S8!G16-Raw_table_S8!H16-Raw_table_S8!I16+Raw_table_S8!M16-Raw_table_S8!N16-Raw_table_S8!O16</x:f>
        <x:v>1</x:v>
      </x:c>
      <x:c r="F16" s="29" t="n">
        <x:f>Raw_table_S8!E16+Raw_table_S8!F16+Raw_table_S8!K16+Raw_table_S8!L16</x:f>
        <x:v>0</x:v>
      </x:c>
      <x:c r="G16" s="29" t="n">
        <x:f>Raw_table_S8!H16+Raw_table_S8!I16+Raw_table_S8!N16+Raw_table_S8!O16</x:f>
        <x:v>0</x:v>
      </x:c>
      <x:c r="H16" s="29" t="n">
        <x:v>42</x:v>
      </x:c>
      <x:c r="I16" s="29" t="n">
        <x:v>42</x:v>
      </x:c>
      <x:c r="J16" s="29" t="n">
        <x:v>42</x:v>
      </x:c>
      <x:c r="K16" s="29" t="n">
        <x:v>42</x:v>
      </x:c>
      <x:c r="L16" s="34" t="n">
        <x:f>D16/H16</x:f>
        <x:v>0</x:v>
      </x:c>
      <x:c r="M16" s="34" t="n">
        <x:f>E16/I16</x:f>
        <x:v>0.023809523809523808</x:v>
      </x:c>
      <x:c r="N16" s="34" t="n">
        <x:f>F16/J16</x:f>
        <x:v>0</x:v>
      </x:c>
      <x:c r="O16" s="34" t="n">
        <x:f>G16/K16</x:f>
        <x:v>0</x:v>
      </x:c>
      <x:c r="P16" s="29" t="str">
        <x:v>(P1 LSD Total - P1 LSD Between - P1 LSD W2) + (P2 LSD Total - P2 LSD Between - P2 LSD W2)</x:v>
      </x:c>
      <x:c r="Q16" s="29" t="str">
        <x:v>(P1 Placebo Total - P1 Placebo Between - P1 Placebo W2) + (P2 Placebo Total - P2 Placebo Between - P2 Placebo W2)</x:v>
      </x:c>
      <x:c r="R16" s="29" t="str">
        <x:v>(P1 LSD Between + P1 LSD W2) + (P2 LSD Between + P2 LSD W2)</x:v>
      </x:c>
      <x:c r="S16" s="30" t="str">
        <x:v>(P1 Placebo Between + P1 Placebo W2) + (P2 Placebo Between + P2 Placebo W2)</x:v>
      </x:c>
    </x:row>
    <x:row r="17">
      <x:c r="A17" s="28" t="str">
        <x:v>Due to underlying life-threatening illness</x:v>
      </x:c>
      <x:c r="B17" s="29" t="str">
        <x:v>Hemoglobin decrease</x:v>
      </x:c>
      <x:c r="C17" s="29" t="n">
        <x:v>0</x:v>
      </x:c>
      <x:c r="D17" s="29" t="n">
        <x:f>Raw_table_S8!D17-Raw_table_S8!E17-Raw_table_S8!F17+Raw_table_S8!J17-Raw_table_S8!K17-Raw_table_S8!L17</x:f>
        <x:v>0</x:v>
      </x:c>
      <x:c r="E17" s="29" t="n">
        <x:f>Raw_table_S8!G17-Raw_table_S8!H17-Raw_table_S8!I17+Raw_table_S8!M17-Raw_table_S8!N17-Raw_table_S8!O17</x:f>
        <x:v>0</x:v>
      </x:c>
      <x:c r="F17" s="29" t="n">
        <x:f>Raw_table_S8!E17+Raw_table_S8!F17+Raw_table_S8!K17+Raw_table_S8!L17</x:f>
        <x:v>1</x:v>
      </x:c>
      <x:c r="G17" s="29" t="n">
        <x:f>Raw_table_S8!H17+Raw_table_S8!I17+Raw_table_S8!N17+Raw_table_S8!O17</x:f>
        <x:v>0</x:v>
      </x:c>
      <x:c r="H17" s="29" t="n">
        <x:v>42</x:v>
      </x:c>
      <x:c r="I17" s="29" t="n">
        <x:v>42</x:v>
      </x:c>
      <x:c r="J17" s="29" t="n">
        <x:v>42</x:v>
      </x:c>
      <x:c r="K17" s="29" t="n">
        <x:v>42</x:v>
      </x:c>
      <x:c r="L17" s="34" t="n">
        <x:f>D17/H17</x:f>
        <x:v>0</x:v>
      </x:c>
      <x:c r="M17" s="34" t="n">
        <x:f>E17/I17</x:f>
        <x:v>0</x:v>
      </x:c>
      <x:c r="N17" s="34" t="n">
        <x:f>F17/J17</x:f>
        <x:v>0.023809523809523808</x:v>
      </x:c>
      <x:c r="O17" s="34" t="n">
        <x:f>G17/K17</x:f>
        <x:v>0</x:v>
      </x:c>
      <x:c r="P17" s="29" t="str">
        <x:v>(P1 LSD Total - P1 LSD Between - P1 LSD W2) + (P2 LSD Total - P2 LSD Between - P2 LSD W2)</x:v>
      </x:c>
      <x:c r="Q17" s="29" t="str">
        <x:v>(P1 Placebo Total - P1 Placebo Between - P1 Placebo W2) + (P2 Placebo Total - P2 Placebo Between - P2 Placebo W2)</x:v>
      </x:c>
      <x:c r="R17" s="29" t="str">
        <x:v>(P1 LSD Between + P1 LSD W2) + (P2 LSD Between + P2 LSD W2)</x:v>
      </x:c>
      <x:c r="S17" s="30" t="str">
        <x:v>(P1 Placebo Between + P1 Placebo W2) + (P2 Placebo Between + P2 Placebo W2)</x:v>
      </x:c>
    </x:row>
    <x:row r="18">
      <x:c r="A18" s="28" t="str">
        <x:v>Due to underlying life-threatening illness</x:v>
      </x:c>
      <x:c r="B18" s="29" t="str">
        <x:v>Alopecia</x:v>
      </x:c>
      <x:c r="C18" s="29" t="n">
        <x:v>0</x:v>
      </x:c>
      <x:c r="D18" s="29" t="n">
        <x:f>Raw_table_S8!D18-Raw_table_S8!E18-Raw_table_S8!F18+Raw_table_S8!J18-Raw_table_S8!K18-Raw_table_S8!L18</x:f>
        <x:v>0</x:v>
      </x:c>
      <x:c r="E18" s="29" t="n">
        <x:f>Raw_table_S8!G18-Raw_table_S8!H18-Raw_table_S8!I18+Raw_table_S8!M18-Raw_table_S8!N18-Raw_table_S8!O18</x:f>
        <x:v>1</x:v>
      </x:c>
      <x:c r="F18" s="29" t="n">
        <x:f>Raw_table_S8!E18+Raw_table_S8!F18+Raw_table_S8!K18+Raw_table_S8!L18</x:f>
        <x:v>0</x:v>
      </x:c>
      <x:c r="G18" s="29" t="n">
        <x:f>Raw_table_S8!H18+Raw_table_S8!I18+Raw_table_S8!N18+Raw_table_S8!O18</x:f>
        <x:v>0</x:v>
      </x:c>
      <x:c r="H18" s="29" t="n">
        <x:v>42</x:v>
      </x:c>
      <x:c r="I18" s="29" t="n">
        <x:v>42</x:v>
      </x:c>
      <x:c r="J18" s="29" t="n">
        <x:v>42</x:v>
      </x:c>
      <x:c r="K18" s="29" t="n">
        <x:v>42</x:v>
      </x:c>
      <x:c r="L18" s="34" t="n">
        <x:f>D18/H18</x:f>
        <x:v>0</x:v>
      </x:c>
      <x:c r="M18" s="34" t="n">
        <x:f>E18/I18</x:f>
        <x:v>0.023809523809523808</x:v>
      </x:c>
      <x:c r="N18" s="34" t="n">
        <x:f>F18/J18</x:f>
        <x:v>0</x:v>
      </x:c>
      <x:c r="O18" s="34" t="n">
        <x:f>G18/K18</x:f>
        <x:v>0</x:v>
      </x:c>
      <x:c r="P18" s="29" t="str">
        <x:v>(P1 LSD Total - P1 LSD Between - P1 LSD W2) + (P2 LSD Total - P2 LSD Between - P2 LSD W2)</x:v>
      </x:c>
      <x:c r="Q18" s="29" t="str">
        <x:v>(P1 Placebo Total - P1 Placebo Between - P1 Placebo W2) + (P2 Placebo Total - P2 Placebo Between - P2 Placebo W2)</x:v>
      </x:c>
      <x:c r="R18" s="29" t="str">
        <x:v>(P1 LSD Between + P1 LSD W2) + (P2 LSD Between + P2 LSD W2)</x:v>
      </x:c>
      <x:c r="S18" s="30" t="str">
        <x:v>(P1 Placebo Between + P1 Placebo W2) + (P2 Placebo Between + P2 Placebo W2)</x:v>
      </x:c>
    </x:row>
    <x:row r="19">
      <x:c r="A19" s="28" t="str">
        <x:v>Due to underlying life-threatening illness</x:v>
      </x:c>
      <x:c r="B19" s="29" t="str">
        <x:v>Gynecomastia</x:v>
      </x:c>
      <x:c r="C19" s="29" t="n">
        <x:v>0</x:v>
      </x:c>
      <x:c r="D19" s="29" t="n">
        <x:f>Raw_table_S8!D19-Raw_table_S8!E19-Raw_table_S8!F19+Raw_table_S8!J19-Raw_table_S8!K19-Raw_table_S8!L19</x:f>
        <x:v>1</x:v>
      </x:c>
      <x:c r="E19" s="29" t="n">
        <x:f>Raw_table_S8!G19-Raw_table_S8!H19-Raw_table_S8!I19+Raw_table_S8!M19-Raw_table_S8!N19-Raw_table_S8!O19</x:f>
        <x:v>0</x:v>
      </x:c>
      <x:c r="F19" s="29" t="n">
        <x:f>Raw_table_S8!E19+Raw_table_S8!F19+Raw_table_S8!K19+Raw_table_S8!L19</x:f>
        <x:v>0</x:v>
      </x:c>
      <x:c r="G19" s="29" t="n">
        <x:f>Raw_table_S8!H19+Raw_table_S8!I19+Raw_table_S8!N19+Raw_table_S8!O19</x:f>
        <x:v>0</x:v>
      </x:c>
      <x:c r="H19" s="29" t="n">
        <x:v>42</x:v>
      </x:c>
      <x:c r="I19" s="29" t="n">
        <x:v>42</x:v>
      </x:c>
      <x:c r="J19" s="29" t="n">
        <x:v>42</x:v>
      </x:c>
      <x:c r="K19" s="29" t="n">
        <x:v>42</x:v>
      </x:c>
      <x:c r="L19" s="34" t="n">
        <x:f>D19/H19</x:f>
        <x:v>0.023809523809523808</x:v>
      </x:c>
      <x:c r="M19" s="34" t="n">
        <x:f>E19/I19</x:f>
        <x:v>0</x:v>
      </x:c>
      <x:c r="N19" s="34" t="n">
        <x:f>F19/J19</x:f>
        <x:v>0</x:v>
      </x:c>
      <x:c r="O19" s="34" t="n">
        <x:f>G19/K19</x:f>
        <x:v>0</x:v>
      </x:c>
      <x:c r="P19" s="29" t="str">
        <x:v>(P1 LSD Total - P1 LSD Between - P1 LSD W2) + (P2 LSD Total - P2 LSD Between - P2 LSD W2)</x:v>
      </x:c>
      <x:c r="Q19" s="29" t="str">
        <x:v>(P1 Placebo Total - P1 Placebo Between - P1 Placebo W2) + (P2 Placebo Total - P2 Placebo Between - P2 Placebo W2)</x:v>
      </x:c>
      <x:c r="R19" s="29" t="str">
        <x:v>(P1 LSD Between + P1 LSD W2) + (P2 LSD Between + P2 LSD W2)</x:v>
      </x:c>
      <x:c r="S19" s="30" t="str">
        <x:v>(P1 Placebo Between + P1 Placebo W2) + (P2 Placebo Between + P2 Placebo W2)</x:v>
      </x:c>
    </x:row>
    <x:row r="20">
      <x:c r="A20" s="28" t="str">
        <x:v>Due to underlying life-threatening illness</x:v>
      </x:c>
      <x:c r="B20" s="29" t="str">
        <x:v>Hand-foot syndrome</x:v>
      </x:c>
      <x:c r="C20" s="29" t="n">
        <x:v>0</x:v>
      </x:c>
      <x:c r="D20" s="29" t="n">
        <x:f>Raw_table_S8!D20-Raw_table_S8!E20-Raw_table_S8!F20+Raw_table_S8!J20-Raw_table_S8!K20-Raw_table_S8!L20</x:f>
        <x:v>1</x:v>
      </x:c>
      <x:c r="E20" s="29" t="n">
        <x:f>Raw_table_S8!G20-Raw_table_S8!H20-Raw_table_S8!I20+Raw_table_S8!M20-Raw_table_S8!N20-Raw_table_S8!O20</x:f>
        <x:v>0</x:v>
      </x:c>
      <x:c r="F20" s="29" t="n">
        <x:f>Raw_table_S8!E20+Raw_table_S8!F20+Raw_table_S8!K20+Raw_table_S8!L20</x:f>
        <x:v>0</x:v>
      </x:c>
      <x:c r="G20" s="29" t="n">
        <x:f>Raw_table_S8!H20+Raw_table_S8!I20+Raw_table_S8!N20+Raw_table_S8!O20</x:f>
        <x:v>0</x:v>
      </x:c>
      <x:c r="H20" s="29" t="n">
        <x:v>42</x:v>
      </x:c>
      <x:c r="I20" s="29" t="n">
        <x:v>42</x:v>
      </x:c>
      <x:c r="J20" s="29" t="n">
        <x:v>42</x:v>
      </x:c>
      <x:c r="K20" s="29" t="n">
        <x:v>42</x:v>
      </x:c>
      <x:c r="L20" s="34" t="n">
        <x:f>D20/H20</x:f>
        <x:v>0.023809523809523808</x:v>
      </x:c>
      <x:c r="M20" s="34" t="n">
        <x:f>E20/I20</x:f>
        <x:v>0</x:v>
      </x:c>
      <x:c r="N20" s="34" t="n">
        <x:f>F20/J20</x:f>
        <x:v>0</x:v>
      </x:c>
      <x:c r="O20" s="34" t="n">
        <x:f>G20/K20</x:f>
        <x:v>0</x:v>
      </x:c>
      <x:c r="P20" s="29" t="str">
        <x:v>(P1 LSD Total - P1 LSD Between - P1 LSD W2) + (P2 LSD Total - P2 LSD Between - P2 LSD W2)</x:v>
      </x:c>
      <x:c r="Q20" s="29" t="str">
        <x:v>(P1 Placebo Total - P1 Placebo Between - P1 Placebo W2) + (P2 Placebo Total - P2 Placebo Between - P2 Placebo W2)</x:v>
      </x:c>
      <x:c r="R20" s="29" t="str">
        <x:v>(P1 LSD Between + P1 LSD W2) + (P2 LSD Between + P2 LSD W2)</x:v>
      </x:c>
      <x:c r="S20" s="30" t="str">
        <x:v>(P1 Placebo Between + P1 Placebo W2) + (P2 Placebo Between + P2 Placebo W2)</x:v>
      </x:c>
    </x:row>
    <x:row r="21">
      <x:c r="A21" s="28" t="str">
        <x:v>Other</x:v>
      </x:c>
      <x:c r="B21" s="29" t="str">
        <x:v>Fatigue</x:v>
      </x:c>
      <x:c r="C21" s="29" t="n">
        <x:v>0</x:v>
      </x:c>
      <x:c r="D21" s="29" t="n">
        <x:f>Raw_table_S8!D21-Raw_table_S8!E21-Raw_table_S8!F21+Raw_table_S8!J21-Raw_table_S8!K21-Raw_table_S8!L21</x:f>
        <x:v>14</x:v>
      </x:c>
      <x:c r="E21" s="29" t="n">
        <x:f>Raw_table_S8!G21-Raw_table_S8!H21-Raw_table_S8!I21+Raw_table_S8!M21-Raw_table_S8!N21-Raw_table_S8!O21</x:f>
        <x:v>11</x:v>
      </x:c>
      <x:c r="F21" s="29" t="n">
        <x:f>Raw_table_S8!E21+Raw_table_S8!F21+Raw_table_S8!K21+Raw_table_S8!L21</x:f>
        <x:v>9</x:v>
      </x:c>
      <x:c r="G21" s="29" t="n">
        <x:f>Raw_table_S8!H21+Raw_table_S8!I21+Raw_table_S8!N21+Raw_table_S8!O21</x:f>
        <x:v>11</x:v>
      </x:c>
      <x:c r="H21" s="29" t="n">
        <x:v>42</x:v>
      </x:c>
      <x:c r="I21" s="29" t="n">
        <x:v>42</x:v>
      </x:c>
      <x:c r="J21" s="29" t="n">
        <x:v>42</x:v>
      </x:c>
      <x:c r="K21" s="29" t="n">
        <x:v>42</x:v>
      </x:c>
      <x:c r="L21" s="34" t="n">
        <x:f>D21/H21</x:f>
        <x:v>0.3333333333333333</x:v>
      </x:c>
      <x:c r="M21" s="34" t="n">
        <x:f>E21/I21</x:f>
        <x:v>0.2619047619047619</x:v>
      </x:c>
      <x:c r="N21" s="34" t="n">
        <x:f>F21/J21</x:f>
        <x:v>0.21428571428571427</x:v>
      </x:c>
      <x:c r="O21" s="34" t="n">
        <x:f>G21/K21</x:f>
        <x:v>0.2619047619047619</x:v>
      </x:c>
      <x:c r="P21" s="29" t="str">
        <x:v>(P1 LSD Total - P1 LSD Between - P1 LSD W2) + (P2 LSD Total - P2 LSD Between - P2 LSD W2)</x:v>
      </x:c>
      <x:c r="Q21" s="29" t="str">
        <x:v>(P1 Placebo Total - P1 Placebo Between - P1 Placebo W2) + (P2 Placebo Total - P2 Placebo Between - P2 Placebo W2)</x:v>
      </x:c>
      <x:c r="R21" s="29" t="str">
        <x:v>(P1 LSD Between + P1 LSD W2) + (P2 LSD Between + P2 LSD W2)</x:v>
      </x:c>
      <x:c r="S21" s="30" t="str">
        <x:v>(P1 Placebo Between + P1 Placebo W2) + (P2 Placebo Between + P2 Placebo W2)</x:v>
      </x:c>
    </x:row>
    <x:row r="22">
      <x:c r="A22" s="28" t="str">
        <x:v>Other</x:v>
      </x:c>
      <x:c r="B22" s="29" t="str">
        <x:v>Headache</x:v>
      </x:c>
      <x:c r="C22" s="29" t="n">
        <x:v>0</x:v>
      </x:c>
      <x:c r="D22" s="29" t="n">
        <x:f>Raw_table_S8!D22-Raw_table_S8!E22-Raw_table_S8!F22+Raw_table_S8!J22-Raw_table_S8!K22-Raw_table_S8!L22</x:f>
        <x:v>8</x:v>
      </x:c>
      <x:c r="E22" s="29" t="n">
        <x:f>Raw_table_S8!G22-Raw_table_S8!H22-Raw_table_S8!I22+Raw_table_S8!M22-Raw_table_S8!N22-Raw_table_S8!O22</x:f>
        <x:v>12</x:v>
      </x:c>
      <x:c r="F22" s="29" t="n">
        <x:f>Raw_table_S8!E22+Raw_table_S8!F22+Raw_table_S8!K22+Raw_table_S8!L22</x:f>
        <x:v>7</x:v>
      </x:c>
      <x:c r="G22" s="29" t="n">
        <x:f>Raw_table_S8!H22+Raw_table_S8!I22+Raw_table_S8!N22+Raw_table_S8!O22</x:f>
        <x:v>13</x:v>
      </x:c>
      <x:c r="H22" s="29" t="n">
        <x:v>42</x:v>
      </x:c>
      <x:c r="I22" s="29" t="n">
        <x:v>42</x:v>
      </x:c>
      <x:c r="J22" s="29" t="n">
        <x:v>42</x:v>
      </x:c>
      <x:c r="K22" s="29" t="n">
        <x:v>42</x:v>
      </x:c>
      <x:c r="L22" s="34" t="n">
        <x:f>D22/H22</x:f>
        <x:v>0.19047619047619047</x:v>
      </x:c>
      <x:c r="M22" s="34" t="n">
        <x:f>E22/I22</x:f>
        <x:v>0.2857142857142857</x:v>
      </x:c>
      <x:c r="N22" s="34" t="n">
        <x:f>F22/J22</x:f>
        <x:v>0.16666666666666666</x:v>
      </x:c>
      <x:c r="O22" s="34" t="n">
        <x:f>G22/K22</x:f>
        <x:v>0.30952380952380953</x:v>
      </x:c>
      <x:c r="P22" s="29" t="str">
        <x:v>(P1 LSD Total - P1 LSD Between - P1 LSD W2) + (P2 LSD Total - P2 LSD Between - P2 LSD W2)</x:v>
      </x:c>
      <x:c r="Q22" s="29" t="str">
        <x:v>(P1 Placebo Total - P1 Placebo Between - P1 Placebo W2) + (P2 Placebo Total - P2 Placebo Between - P2 Placebo W2)</x:v>
      </x:c>
      <x:c r="R22" s="29" t="str">
        <x:v>(P1 LSD Between + P1 LSD W2) + (P2 LSD Between + P2 LSD W2)</x:v>
      </x:c>
      <x:c r="S22" s="30" t="str">
        <x:v>(P1 Placebo Between + P1 Placebo W2) + (P2 Placebo Between + P2 Placebo W2)</x:v>
      </x:c>
    </x:row>
    <x:row r="23">
      <x:c r="A23" s="28" t="str">
        <x:v>Other</x:v>
      </x:c>
      <x:c r="B23" s="29" t="str">
        <x:v>Difficulty to concentrate</x:v>
      </x:c>
      <x:c r="C23" s="29" t="n">
        <x:v>0</x:v>
      </x:c>
      <x:c r="D23" s="29" t="n">
        <x:f>Raw_table_S8!D23-Raw_table_S8!E23-Raw_table_S8!F23+Raw_table_S8!J23-Raw_table_S8!K23-Raw_table_S8!L23</x:f>
        <x:v>7</x:v>
      </x:c>
      <x:c r="E23" s="29" t="n">
        <x:f>Raw_table_S8!G23-Raw_table_S8!H23-Raw_table_S8!I23+Raw_table_S8!M23-Raw_table_S8!N23-Raw_table_S8!O23</x:f>
        <x:v>7</x:v>
      </x:c>
      <x:c r="F23" s="29" t="n">
        <x:f>Raw_table_S8!E23+Raw_table_S8!F23+Raw_table_S8!K23+Raw_table_S8!L23</x:f>
        <x:v>4</x:v>
      </x:c>
      <x:c r="G23" s="29" t="n">
        <x:f>Raw_table_S8!H23+Raw_table_S8!I23+Raw_table_S8!N23+Raw_table_S8!O23</x:f>
        <x:v>5</x:v>
      </x:c>
      <x:c r="H23" s="29" t="n">
        <x:v>42</x:v>
      </x:c>
      <x:c r="I23" s="29" t="n">
        <x:v>42</x:v>
      </x:c>
      <x:c r="J23" s="29" t="n">
        <x:v>42</x:v>
      </x:c>
      <x:c r="K23" s="29" t="n">
        <x:v>42</x:v>
      </x:c>
      <x:c r="L23" s="34" t="n">
        <x:f>D23/H23</x:f>
        <x:v>0.16666666666666666</x:v>
      </x:c>
      <x:c r="M23" s="34" t="n">
        <x:f>E23/I23</x:f>
        <x:v>0.16666666666666666</x:v>
      </x:c>
      <x:c r="N23" s="34" t="n">
        <x:f>F23/J23</x:f>
        <x:v>0.09523809523809523</x:v>
      </x:c>
      <x:c r="O23" s="34" t="n">
        <x:f>G23/K23</x:f>
        <x:v>0.11904761904761904</x:v>
      </x:c>
      <x:c r="P23" s="29" t="str">
        <x:v>(P1 LSD Total - P1 LSD Between - P1 LSD W2) + (P2 LSD Total - P2 LSD Between - P2 LSD W2)</x:v>
      </x:c>
      <x:c r="Q23" s="29" t="str">
        <x:v>(P1 Placebo Total - P1 Placebo Between - P1 Placebo W2) + (P2 Placebo Total - P2 Placebo Between - P2 Placebo W2)</x:v>
      </x:c>
      <x:c r="R23" s="29" t="str">
        <x:v>(P1 LSD Between + P1 LSD W2) + (P2 LSD Between + P2 LSD W2)</x:v>
      </x:c>
      <x:c r="S23" s="30" t="str">
        <x:v>(P1 Placebo Between + P1 Placebo W2) + (P2 Placebo Between + P2 Placebo W2)</x:v>
      </x:c>
    </x:row>
    <x:row r="24">
      <x:c r="A24" s="28" t="str">
        <x:v>Other</x:v>
      </x:c>
      <x:c r="B24" s="29" t="str">
        <x:v>Nausea</x:v>
      </x:c>
      <x:c r="C24" s="29" t="n">
        <x:v>1</x:v>
      </x:c>
      <x:c r="D24" s="29" t="n">
        <x:f>Raw_table_S8!D24-Raw_table_S8!E24-Raw_table_S8!F24+Raw_table_S8!J24-Raw_table_S8!K24-Raw_table_S8!L24</x:f>
        <x:v>4</x:v>
      </x:c>
      <x:c r="E24" s="29" t="n">
        <x:f>Raw_table_S8!G24-Raw_table_S8!H24-Raw_table_S8!I24+Raw_table_S8!M24-Raw_table_S8!N24-Raw_table_S8!O24</x:f>
        <x:v>6</x:v>
      </x:c>
      <x:c r="F24" s="29" t="n">
        <x:f>Raw_table_S8!E24+Raw_table_S8!F24+Raw_table_S8!K24+Raw_table_S8!L24</x:f>
        <x:v>4</x:v>
      </x:c>
      <x:c r="G24" s="29" t="n">
        <x:f>Raw_table_S8!H24+Raw_table_S8!I24+Raw_table_S8!N24+Raw_table_S8!O24</x:f>
        <x:v>6</x:v>
      </x:c>
      <x:c r="H24" s="29" t="n">
        <x:v>42</x:v>
      </x:c>
      <x:c r="I24" s="29" t="n">
        <x:v>42</x:v>
      </x:c>
      <x:c r="J24" s="29" t="n">
        <x:v>42</x:v>
      </x:c>
      <x:c r="K24" s="29" t="n">
        <x:v>42</x:v>
      </x:c>
      <x:c r="L24" s="34" t="n">
        <x:f>D24/H24</x:f>
        <x:v>0.09523809523809523</x:v>
      </x:c>
      <x:c r="M24" s="34" t="n">
        <x:f>E24/I24</x:f>
        <x:v>0.14285714285714285</x:v>
      </x:c>
      <x:c r="N24" s="34" t="n">
        <x:f>F24/J24</x:f>
        <x:v>0.09523809523809523</x:v>
      </x:c>
      <x:c r="O24" s="34" t="n">
        <x:f>G24/K24</x:f>
        <x:v>0.14285714285714285</x:v>
      </x:c>
      <x:c r="P24" s="29" t="str">
        <x:v>(P1 LSD Total - P1 LSD Between - P1 LSD W2) + (P2 LSD Total - P2 LSD Between - P2 LSD W2)</x:v>
      </x:c>
      <x:c r="Q24" s="29" t="str">
        <x:v>(P1 Placebo Total - P1 Placebo Between - P1 Placebo W2) + (P2 Placebo Total - P2 Placebo Between - P2 Placebo W2)</x:v>
      </x:c>
      <x:c r="R24" s="29" t="str">
        <x:v>(P1 LSD Between + P1 LSD W2) + (P2 LSD Between + P2 LSD W2)</x:v>
      </x:c>
      <x:c r="S24" s="30" t="str">
        <x:v>(P1 Placebo Between + P1 Placebo W2) + (P2 Placebo Between + P2 Placebo W2)</x:v>
      </x:c>
    </x:row>
    <x:row r="25">
      <x:c r="A25" s="28" t="str">
        <x:v>Other</x:v>
      </x:c>
      <x:c r="B25" s="29" t="str">
        <x:v>Dizziness</x:v>
      </x:c>
      <x:c r="C25" s="29" t="n">
        <x:v>0</x:v>
      </x:c>
      <x:c r="D25" s="29" t="n">
        <x:f>Raw_table_S8!D25-Raw_table_S8!E25-Raw_table_S8!F25+Raw_table_S8!J25-Raw_table_S8!K25-Raw_table_S8!L25</x:f>
        <x:v>6</x:v>
      </x:c>
      <x:c r="E25" s="29" t="n">
        <x:f>Raw_table_S8!G25-Raw_table_S8!H25-Raw_table_S8!I25+Raw_table_S8!M25-Raw_table_S8!N25-Raw_table_S8!O25</x:f>
        <x:v>3</x:v>
      </x:c>
      <x:c r="F25" s="29" t="n">
        <x:f>Raw_table_S8!E25+Raw_table_S8!F25+Raw_table_S8!K25+Raw_table_S8!L25</x:f>
        <x:v>3</x:v>
      </x:c>
      <x:c r="G25" s="29" t="n">
        <x:f>Raw_table_S8!H25+Raw_table_S8!I25+Raw_table_S8!N25+Raw_table_S8!O25</x:f>
        <x:v>6</x:v>
      </x:c>
      <x:c r="H25" s="29" t="n">
        <x:v>42</x:v>
      </x:c>
      <x:c r="I25" s="29" t="n">
        <x:v>42</x:v>
      </x:c>
      <x:c r="J25" s="29" t="n">
        <x:v>42</x:v>
      </x:c>
      <x:c r="K25" s="29" t="n">
        <x:v>42</x:v>
      </x:c>
      <x:c r="L25" s="34" t="n">
        <x:f>D25/H25</x:f>
        <x:v>0.14285714285714285</x:v>
      </x:c>
      <x:c r="M25" s="34" t="n">
        <x:f>E25/I25</x:f>
        <x:v>0.07142857142857142</x:v>
      </x:c>
      <x:c r="N25" s="34" t="n">
        <x:f>F25/J25</x:f>
        <x:v>0.07142857142857142</x:v>
      </x:c>
      <x:c r="O25" s="34" t="n">
        <x:f>G25/K25</x:f>
        <x:v>0.14285714285714285</x:v>
      </x:c>
      <x:c r="P25" s="29" t="str">
        <x:v>(P1 LSD Total - P1 LSD Between - P1 LSD W2) + (P2 LSD Total - P2 LSD Between - P2 LSD W2)</x:v>
      </x:c>
      <x:c r="Q25" s="29" t="str">
        <x:v>(P1 Placebo Total - P1 Placebo Between - P1 Placebo W2) + (P2 Placebo Total - P2 Placebo Between - P2 Placebo W2)</x:v>
      </x:c>
      <x:c r="R25" s="29" t="str">
        <x:v>(P1 LSD Between + P1 LSD W2) + (P2 LSD Between + P2 LSD W2)</x:v>
      </x:c>
      <x:c r="S25" s="30" t="str">
        <x:v>(P1 Placebo Between + P1 Placebo W2) + (P2 Placebo Between + P2 Placebo W2)</x:v>
      </x:c>
    </x:row>
    <x:row r="26">
      <x:c r="A26" s="28" t="str">
        <x:v>Other</x:v>
      </x:c>
      <x:c r="B26" s="29" t="str">
        <x:v>Common cold</x:v>
      </x:c>
      <x:c r="C26" s="29" t="n">
        <x:v>0</x:v>
      </x:c>
      <x:c r="D26" s="29" t="n">
        <x:f>Raw_table_S8!D26-Raw_table_S8!E26-Raw_table_S8!F26+Raw_table_S8!J26-Raw_table_S8!K26-Raw_table_S8!L26</x:f>
        <x:v>6</x:v>
      </x:c>
      <x:c r="E26" s="29" t="n">
        <x:f>Raw_table_S8!G26-Raw_table_S8!H26-Raw_table_S8!I26+Raw_table_S8!M26-Raw_table_S8!N26-Raw_table_S8!O26</x:f>
        <x:v>3</x:v>
      </x:c>
      <x:c r="F26" s="29" t="n">
        <x:f>Raw_table_S8!E26+Raw_table_S8!F26+Raw_table_S8!K26+Raw_table_S8!L26</x:f>
        <x:v>2</x:v>
      </x:c>
      <x:c r="G26" s="29" t="n">
        <x:f>Raw_table_S8!H26+Raw_table_S8!I26+Raw_table_S8!N26+Raw_table_S8!O26</x:f>
        <x:v>4</x:v>
      </x:c>
      <x:c r="H26" s="29" t="n">
        <x:v>42</x:v>
      </x:c>
      <x:c r="I26" s="29" t="n">
        <x:v>42</x:v>
      </x:c>
      <x:c r="J26" s="29" t="n">
        <x:v>42</x:v>
      </x:c>
      <x:c r="K26" s="29" t="n">
        <x:v>42</x:v>
      </x:c>
      <x:c r="L26" s="34" t="n">
        <x:f>D26/H26</x:f>
        <x:v>0.14285714285714285</x:v>
      </x:c>
      <x:c r="M26" s="34" t="n">
        <x:f>E26/I26</x:f>
        <x:v>0.07142857142857142</x:v>
      </x:c>
      <x:c r="N26" s="34" t="n">
        <x:f>F26/J26</x:f>
        <x:v>0.047619047619047616</x:v>
      </x:c>
      <x:c r="O26" s="34" t="n">
        <x:f>G26/K26</x:f>
        <x:v>0.09523809523809523</x:v>
      </x:c>
      <x:c r="P26" s="29" t="str">
        <x:v>(P1 LSD Total - P1 LSD Between - P1 LSD W2) + (P2 LSD Total - P2 LSD Between - P2 LSD W2)</x:v>
      </x:c>
      <x:c r="Q26" s="29" t="str">
        <x:v>(P1 Placebo Total - P1 Placebo Between - P1 Placebo W2) + (P2 Placebo Total - P2 Placebo Between - P2 Placebo W2)</x:v>
      </x:c>
      <x:c r="R26" s="29" t="str">
        <x:v>(P1 LSD Between + P1 LSD W2) + (P2 LSD Between + P2 LSD W2)</x:v>
      </x:c>
      <x:c r="S26" s="30" t="str">
        <x:v>(P1 Placebo Between + P1 Placebo W2) + (P2 Placebo Between + P2 Placebo W2)</x:v>
      </x:c>
    </x:row>
    <x:row r="27">
      <x:c r="A27" s="28" t="str">
        <x:v>Other</x:v>
      </x:c>
      <x:c r="B27" s="29" t="str">
        <x:v>Diarrhea</x:v>
      </x:c>
      <x:c r="C27" s="29" t="n">
        <x:v>0</x:v>
      </x:c>
      <x:c r="D27" s="29" t="n">
        <x:f>Raw_table_S8!D27-Raw_table_S8!E27-Raw_table_S8!F27+Raw_table_S8!J27-Raw_table_S8!K27-Raw_table_S8!L27</x:f>
        <x:v>1</x:v>
      </x:c>
      <x:c r="E27" s="29" t="n">
        <x:f>Raw_table_S8!G27-Raw_table_S8!H27-Raw_table_S8!I27+Raw_table_S8!M27-Raw_table_S8!N27-Raw_table_S8!O27</x:f>
        <x:v>2</x:v>
      </x:c>
      <x:c r="F27" s="29" t="n">
        <x:f>Raw_table_S8!E27+Raw_table_S8!F27+Raw_table_S8!K27+Raw_table_S8!L27</x:f>
        <x:v>1</x:v>
      </x:c>
      <x:c r="G27" s="29" t="n">
        <x:f>Raw_table_S8!H27+Raw_table_S8!I27+Raw_table_S8!N27+Raw_table_S8!O27</x:f>
        <x:v>1</x:v>
      </x:c>
      <x:c r="H27" s="29" t="n">
        <x:v>42</x:v>
      </x:c>
      <x:c r="I27" s="29" t="n">
        <x:v>42</x:v>
      </x:c>
      <x:c r="J27" s="29" t="n">
        <x:v>42</x:v>
      </x:c>
      <x:c r="K27" s="29" t="n">
        <x:v>42</x:v>
      </x:c>
      <x:c r="L27" s="34" t="n">
        <x:f>D27/H27</x:f>
        <x:v>0.023809523809523808</x:v>
      </x:c>
      <x:c r="M27" s="34" t="n">
        <x:f>E27/I27</x:f>
        <x:v>0.047619047619047616</x:v>
      </x:c>
      <x:c r="N27" s="34" t="n">
        <x:f>F27/J27</x:f>
        <x:v>0.023809523809523808</x:v>
      </x:c>
      <x:c r="O27" s="34" t="n">
        <x:f>G27/K27</x:f>
        <x:v>0.023809523809523808</x:v>
      </x:c>
      <x:c r="P27" s="29" t="str">
        <x:v>(P1 LSD Total - P1 LSD Between - P1 LSD W2) + (P2 LSD Total - P2 LSD Between - P2 LSD W2)</x:v>
      </x:c>
      <x:c r="Q27" s="29" t="str">
        <x:v>(P1 Placebo Total - P1 Placebo Between - P1 Placebo W2) + (P2 Placebo Total - P2 Placebo Between - P2 Placebo W2)</x:v>
      </x:c>
      <x:c r="R27" s="29" t="str">
        <x:v>(P1 LSD Between + P1 LSD W2) + (P2 LSD Between + P2 LSD W2)</x:v>
      </x:c>
      <x:c r="S27" s="30" t="str">
        <x:v>(P1 Placebo Between + P1 Placebo W2) + (P2 Placebo Between + P2 Placebo W2)</x:v>
      </x:c>
    </x:row>
    <x:row r="28">
      <x:c r="A28" s="28" t="str">
        <x:v>Other</x:v>
      </x:c>
      <x:c r="B28" s="29" t="str">
        <x:v>Cough</x:v>
      </x:c>
      <x:c r="C28" s="29" t="n">
        <x:v>0</x:v>
      </x:c>
      <x:c r="D28" s="29" t="n">
        <x:f>Raw_table_S8!D28-Raw_table_S8!E28-Raw_table_S8!F28+Raw_table_S8!J28-Raw_table_S8!K28-Raw_table_S8!L28</x:f>
        <x:v>3</x:v>
      </x:c>
      <x:c r="E28" s="29" t="n">
        <x:f>Raw_table_S8!G28-Raw_table_S8!H28-Raw_table_S8!I28+Raw_table_S8!M28-Raw_table_S8!N28-Raw_table_S8!O28</x:f>
        <x:v>1</x:v>
      </x:c>
      <x:c r="F28" s="29" t="n">
        <x:f>Raw_table_S8!E28+Raw_table_S8!F28+Raw_table_S8!K28+Raw_table_S8!L28</x:f>
        <x:v>0</x:v>
      </x:c>
      <x:c r="G28" s="29" t="n">
        <x:f>Raw_table_S8!H28+Raw_table_S8!I28+Raw_table_S8!N28+Raw_table_S8!O28</x:f>
        <x:v>0</x:v>
      </x:c>
      <x:c r="H28" s="29" t="n">
        <x:v>42</x:v>
      </x:c>
      <x:c r="I28" s="29" t="n">
        <x:v>42</x:v>
      </x:c>
      <x:c r="J28" s="29" t="n">
        <x:v>42</x:v>
      </x:c>
      <x:c r="K28" s="29" t="n">
        <x:v>42</x:v>
      </x:c>
      <x:c r="L28" s="34" t="n">
        <x:f>D28/H28</x:f>
        <x:v>0.07142857142857142</x:v>
      </x:c>
      <x:c r="M28" s="34" t="n">
        <x:f>E28/I28</x:f>
        <x:v>0.023809523809523808</x:v>
      </x:c>
      <x:c r="N28" s="34" t="n">
        <x:f>F28/J28</x:f>
        <x:v>0</x:v>
      </x:c>
      <x:c r="O28" s="34" t="n">
        <x:f>G28/K28</x:f>
        <x:v>0</x:v>
      </x:c>
      <x:c r="P28" s="29" t="str">
        <x:v>(P1 LSD Total - P1 LSD Between - P1 LSD W2) + (P2 LSD Total - P2 LSD Between - P2 LSD W2)</x:v>
      </x:c>
      <x:c r="Q28" s="29" t="str">
        <x:v>(P1 Placebo Total - P1 Placebo Between - P1 Placebo W2) + (P2 Placebo Total - P2 Placebo Between - P2 Placebo W2)</x:v>
      </x:c>
      <x:c r="R28" s="29" t="str">
        <x:v>(P1 LSD Between + P1 LSD W2) + (P2 LSD Between + P2 LSD W2)</x:v>
      </x:c>
      <x:c r="S28" s="30" t="str">
        <x:v>(P1 Placebo Between + P1 Placebo W2) + (P2 Placebo Between + P2 Placebo W2)</x:v>
      </x:c>
    </x:row>
    <x:row r="29">
      <x:c r="A29" s="28" t="str">
        <x:v>Other</x:v>
      </x:c>
      <x:c r="B29" s="29" t="str">
        <x:v>Abdominal cramps</x:v>
      </x:c>
      <x:c r="C29" s="29" t="n">
        <x:v>0</x:v>
      </x:c>
      <x:c r="D29" s="29" t="n">
        <x:f>Raw_table_S8!D29-Raw_table_S8!E29-Raw_table_S8!F29+Raw_table_S8!J29-Raw_table_S8!K29-Raw_table_S8!L29</x:f>
        <x:v>2</x:v>
      </x:c>
      <x:c r="E29" s="29" t="n">
        <x:f>Raw_table_S8!G29-Raw_table_S8!H29-Raw_table_S8!I29+Raw_table_S8!M29-Raw_table_S8!N29-Raw_table_S8!O29</x:f>
        <x:v>0</x:v>
      </x:c>
      <x:c r="F29" s="29" t="n">
        <x:f>Raw_table_S8!E29+Raw_table_S8!F29+Raw_table_S8!K29+Raw_table_S8!L29</x:f>
        <x:v>0</x:v>
      </x:c>
      <x:c r="G29" s="29" t="n">
        <x:f>Raw_table_S8!H29+Raw_table_S8!I29+Raw_table_S8!N29+Raw_table_S8!O29</x:f>
        <x:v>0</x:v>
      </x:c>
      <x:c r="H29" s="29" t="n">
        <x:v>42</x:v>
      </x:c>
      <x:c r="I29" s="29" t="n">
        <x:v>42</x:v>
      </x:c>
      <x:c r="J29" s="29" t="n">
        <x:v>42</x:v>
      </x:c>
      <x:c r="K29" s="29" t="n">
        <x:v>42</x:v>
      </x:c>
      <x:c r="L29" s="34" t="n">
        <x:f>D29/H29</x:f>
        <x:v>0.047619047619047616</x:v>
      </x:c>
      <x:c r="M29" s="34" t="n">
        <x:f>E29/I29</x:f>
        <x:v>0</x:v>
      </x:c>
      <x:c r="N29" s="34" t="n">
        <x:f>F29/J29</x:f>
        <x:v>0</x:v>
      </x:c>
      <x:c r="O29" s="34" t="n">
        <x:f>G29/K29</x:f>
        <x:v>0</x:v>
      </x:c>
      <x:c r="P29" s="29" t="str">
        <x:v>(P1 LSD Total - P1 LSD Between - P1 LSD W2) + (P2 LSD Total - P2 LSD Between - P2 LSD W2)</x:v>
      </x:c>
      <x:c r="Q29" s="29" t="str">
        <x:v>(P1 Placebo Total - P1 Placebo Between - P1 Placebo W2) + (P2 Placebo Total - P2 Placebo Between - P2 Placebo W2)</x:v>
      </x:c>
      <x:c r="R29" s="29" t="str">
        <x:v>(P1 LSD Between + P1 LSD W2) + (P2 LSD Between + P2 LSD W2)</x:v>
      </x:c>
      <x:c r="S29" s="30" t="str">
        <x:v>(P1 Placebo Between + P1 Placebo W2) + (P2 Placebo Between + P2 Placebo W2)</x:v>
      </x:c>
    </x:row>
    <x:row r="30">
      <x:c r="A30" s="28" t="str">
        <x:v>Other</x:v>
      </x:c>
      <x:c r="B30" s="29" t="str">
        <x:v>Abdominal pain</x:v>
      </x:c>
      <x:c r="C30" s="29" t="n">
        <x:v>0</x:v>
      </x:c>
      <x:c r="D30" s="29" t="n">
        <x:f>Raw_table_S8!D30-Raw_table_S8!E30-Raw_table_S8!F30+Raw_table_S8!J30-Raw_table_S8!K30-Raw_table_S8!L30</x:f>
        <x:v>0</x:v>
      </x:c>
      <x:c r="E30" s="29" t="n">
        <x:f>Raw_table_S8!G30-Raw_table_S8!H30-Raw_table_S8!I30+Raw_table_S8!M30-Raw_table_S8!N30-Raw_table_S8!O30</x:f>
        <x:v>1</x:v>
      </x:c>
      <x:c r="F30" s="29" t="n">
        <x:f>Raw_table_S8!E30+Raw_table_S8!F30+Raw_table_S8!K30+Raw_table_S8!L30</x:f>
        <x:v>1</x:v>
      </x:c>
      <x:c r="G30" s="29" t="n">
        <x:f>Raw_table_S8!H30+Raw_table_S8!I30+Raw_table_S8!N30+Raw_table_S8!O30</x:f>
        <x:v>0</x:v>
      </x:c>
      <x:c r="H30" s="29" t="n">
        <x:v>42</x:v>
      </x:c>
      <x:c r="I30" s="29" t="n">
        <x:v>42</x:v>
      </x:c>
      <x:c r="J30" s="29" t="n">
        <x:v>42</x:v>
      </x:c>
      <x:c r="K30" s="29" t="n">
        <x:v>42</x:v>
      </x:c>
      <x:c r="L30" s="34" t="n">
        <x:f>D30/H30</x:f>
        <x:v>0</x:v>
      </x:c>
      <x:c r="M30" s="34" t="n">
        <x:f>E30/I30</x:f>
        <x:v>0.023809523809523808</x:v>
      </x:c>
      <x:c r="N30" s="34" t="n">
        <x:f>F30/J30</x:f>
        <x:v>0.023809523809523808</x:v>
      </x:c>
      <x:c r="O30" s="34" t="n">
        <x:f>G30/K30</x:f>
        <x:v>0</x:v>
      </x:c>
      <x:c r="P30" s="29" t="str">
        <x:v>(P1 LSD Total - P1 LSD Between - P1 LSD W2) + (P2 LSD Total - P2 LSD Between - P2 LSD W2)</x:v>
      </x:c>
      <x:c r="Q30" s="29" t="str">
        <x:v>(P1 Placebo Total - P1 Placebo Between - P1 Placebo W2) + (P2 Placebo Total - P2 Placebo Between - P2 Placebo W2)</x:v>
      </x:c>
      <x:c r="R30" s="29" t="str">
        <x:v>(P1 LSD Between + P1 LSD W2) + (P2 LSD Between + P2 LSD W2)</x:v>
      </x:c>
      <x:c r="S30" s="30" t="str">
        <x:v>(P1 Placebo Between + P1 Placebo W2) + (P2 Placebo Between + P2 Placebo W2)</x:v>
      </x:c>
    </x:row>
    <x:row r="31">
      <x:c r="A31" s="28" t="str">
        <x:v>Other</x:v>
      </x:c>
      <x:c r="B31" s="29" t="str">
        <x:v>Lumbalgia</x:v>
      </x:c>
      <x:c r="C31" s="29" t="n">
        <x:v>0</x:v>
      </x:c>
      <x:c r="D31" s="29" t="n">
        <x:f>Raw_table_S8!D31-Raw_table_S8!E31-Raw_table_S8!F31+Raw_table_S8!J31-Raw_table_S8!K31-Raw_table_S8!L31</x:f>
        <x:v>0</x:v>
      </x:c>
      <x:c r="E31" s="29" t="n">
        <x:f>Raw_table_S8!G31-Raw_table_S8!H31-Raw_table_S8!I31+Raw_table_S8!M31-Raw_table_S8!N31-Raw_table_S8!O31</x:f>
        <x:v>1</x:v>
      </x:c>
      <x:c r="F31" s="29" t="n">
        <x:f>Raw_table_S8!E31+Raw_table_S8!F31+Raw_table_S8!K31+Raw_table_S8!L31</x:f>
        <x:v>0</x:v>
      </x:c>
      <x:c r="G31" s="29" t="n">
        <x:f>Raw_table_S8!H31+Raw_table_S8!I31+Raw_table_S8!N31+Raw_table_S8!O31</x:f>
        <x:v>1</x:v>
      </x:c>
      <x:c r="H31" s="29" t="n">
        <x:v>42</x:v>
      </x:c>
      <x:c r="I31" s="29" t="n">
        <x:v>42</x:v>
      </x:c>
      <x:c r="J31" s="29" t="n">
        <x:v>42</x:v>
      </x:c>
      <x:c r="K31" s="29" t="n">
        <x:v>42</x:v>
      </x:c>
      <x:c r="L31" s="34" t="n">
        <x:f>D31/H31</x:f>
        <x:v>0</x:v>
      </x:c>
      <x:c r="M31" s="34" t="n">
        <x:f>E31/I31</x:f>
        <x:v>0.023809523809523808</x:v>
      </x:c>
      <x:c r="N31" s="34" t="n">
        <x:f>F31/J31</x:f>
        <x:v>0</x:v>
      </x:c>
      <x:c r="O31" s="34" t="n">
        <x:f>G31/K31</x:f>
        <x:v>0.023809523809523808</x:v>
      </x:c>
      <x:c r="P31" s="29" t="str">
        <x:v>(P1 LSD Total - P1 LSD Between - P1 LSD W2) + (P2 LSD Total - P2 LSD Between - P2 LSD W2)</x:v>
      </x:c>
      <x:c r="Q31" s="29" t="str">
        <x:v>(P1 Placebo Total - P1 Placebo Between - P1 Placebo W2) + (P2 Placebo Total - P2 Placebo Between - P2 Placebo W2)</x:v>
      </x:c>
      <x:c r="R31" s="29" t="str">
        <x:v>(P1 LSD Between + P1 LSD W2) + (P2 LSD Between + P2 LSD W2)</x:v>
      </x:c>
      <x:c r="S31" s="30" t="str">
        <x:v>(P1 Placebo Between + P1 Placebo W2) + (P2 Placebo Between + P2 Placebo W2)</x:v>
      </x:c>
    </x:row>
    <x:row r="32">
      <x:c r="A32" s="28" t="str">
        <x:v>Other</x:v>
      </x:c>
      <x:c r="B32" s="29" t="str">
        <x:v>Mastitis</x:v>
      </x:c>
      <x:c r="C32" s="29" t="n">
        <x:v>0</x:v>
      </x:c>
      <x:c r="D32" s="29" t="n">
        <x:f>Raw_table_S8!D32-Raw_table_S8!E32-Raw_table_S8!F32+Raw_table_S8!J32-Raw_table_S8!K32-Raw_table_S8!L32</x:f>
        <x:v>2</x:v>
      </x:c>
      <x:c r="E32" s="29" t="n">
        <x:f>Raw_table_S8!G32-Raw_table_S8!H32-Raw_table_S8!I32+Raw_table_S8!M32-Raw_table_S8!N32-Raw_table_S8!O32</x:f>
        <x:v>0</x:v>
      </x:c>
      <x:c r="F32" s="29" t="n">
        <x:f>Raw_table_S8!E32+Raw_table_S8!F32+Raw_table_S8!K32+Raw_table_S8!L32</x:f>
        <x:v>0</x:v>
      </x:c>
      <x:c r="G32" s="29" t="n">
        <x:f>Raw_table_S8!H32+Raw_table_S8!I32+Raw_table_S8!N32+Raw_table_S8!O32</x:f>
        <x:v>0</x:v>
      </x:c>
      <x:c r="H32" s="29" t="n">
        <x:v>42</x:v>
      </x:c>
      <x:c r="I32" s="29" t="n">
        <x:v>42</x:v>
      </x:c>
      <x:c r="J32" s="29" t="n">
        <x:v>42</x:v>
      </x:c>
      <x:c r="K32" s="29" t="n">
        <x:v>42</x:v>
      </x:c>
      <x:c r="L32" s="34" t="n">
        <x:f>D32/H32</x:f>
        <x:v>0.047619047619047616</x:v>
      </x:c>
      <x:c r="M32" s="34" t="n">
        <x:f>E32/I32</x:f>
        <x:v>0</x:v>
      </x:c>
      <x:c r="N32" s="34" t="n">
        <x:f>F32/J32</x:f>
        <x:v>0</x:v>
      </x:c>
      <x:c r="O32" s="34" t="n">
        <x:f>G32/K32</x:f>
        <x:v>0</x:v>
      </x:c>
      <x:c r="P32" s="29" t="str">
        <x:v>(P1 LSD Total - P1 LSD Between - P1 LSD W2) + (P2 LSD Total - P2 LSD Between - P2 LSD W2)</x:v>
      </x:c>
      <x:c r="Q32" s="29" t="str">
        <x:v>(P1 Placebo Total - P1 Placebo Between - P1 Placebo W2) + (P2 Placebo Total - P2 Placebo Between - P2 Placebo W2)</x:v>
      </x:c>
      <x:c r="R32" s="29" t="str">
        <x:v>(P1 LSD Between + P1 LSD W2) + (P2 LSD Between + P2 LSD W2)</x:v>
      </x:c>
      <x:c r="S32" s="30" t="str">
        <x:v>(P1 Placebo Between + P1 Placebo W2) + (P2 Placebo Between + P2 Placebo W2)</x:v>
      </x:c>
    </x:row>
    <x:row r="33">
      <x:c r="A33" s="28" t="str">
        <x:v>Other</x:v>
      </x:c>
      <x:c r="B33" s="29" t="str">
        <x:v>Weight gain</x:v>
      </x:c>
      <x:c r="C33" s="29" t="n">
        <x:v>0</x:v>
      </x:c>
      <x:c r="D33" s="29" t="n">
        <x:f>Raw_table_S8!D33-Raw_table_S8!E33-Raw_table_S8!F33+Raw_table_S8!J33-Raw_table_S8!K33-Raw_table_S8!L33</x:f>
        <x:v>0</x:v>
      </x:c>
      <x:c r="E33" s="29" t="n">
        <x:f>Raw_table_S8!G33-Raw_table_S8!H33-Raw_table_S8!I33+Raw_table_S8!M33-Raw_table_S8!N33-Raw_table_S8!O33</x:f>
        <x:v>1</x:v>
      </x:c>
      <x:c r="F33" s="29" t="n">
        <x:f>Raw_table_S8!E33+Raw_table_S8!F33+Raw_table_S8!K33+Raw_table_S8!L33</x:f>
        <x:v>0</x:v>
      </x:c>
      <x:c r="G33" s="29" t="n">
        <x:f>Raw_table_S8!H33+Raw_table_S8!I33+Raw_table_S8!N33+Raw_table_S8!O33</x:f>
        <x:v>1</x:v>
      </x:c>
      <x:c r="H33" s="29" t="n">
        <x:v>42</x:v>
      </x:c>
      <x:c r="I33" s="29" t="n">
        <x:v>42</x:v>
      </x:c>
      <x:c r="J33" s="29" t="n">
        <x:v>42</x:v>
      </x:c>
      <x:c r="K33" s="29" t="n">
        <x:v>42</x:v>
      </x:c>
      <x:c r="L33" s="34" t="n">
        <x:f>D33/H33</x:f>
        <x:v>0</x:v>
      </x:c>
      <x:c r="M33" s="34" t="n">
        <x:f>E33/I33</x:f>
        <x:v>0.023809523809523808</x:v>
      </x:c>
      <x:c r="N33" s="34" t="n">
        <x:f>F33/J33</x:f>
        <x:v>0</x:v>
      </x:c>
      <x:c r="O33" s="34" t="n">
        <x:f>G33/K33</x:f>
        <x:v>0.023809523809523808</x:v>
      </x:c>
      <x:c r="P33" s="29" t="str">
        <x:v>(P1 LSD Total - P1 LSD Between - P1 LSD W2) + (P2 LSD Total - P2 LSD Between - P2 LSD W2)</x:v>
      </x:c>
      <x:c r="Q33" s="29" t="str">
        <x:v>(P1 Placebo Total - P1 Placebo Between - P1 Placebo W2) + (P2 Placebo Total - P2 Placebo Between - P2 Placebo W2)</x:v>
      </x:c>
      <x:c r="R33" s="29" t="str">
        <x:v>(P1 LSD Between + P1 LSD W2) + (P2 LSD Between + P2 LSD W2)</x:v>
      </x:c>
      <x:c r="S33" s="30" t="str">
        <x:v>(P1 Placebo Between + P1 Placebo W2) + (P2 Placebo Between + P2 Placebo W2)</x:v>
      </x:c>
    </x:row>
    <x:row r="34">
      <x:c r="A34" s="28" t="str">
        <x:v>Other</x:v>
      </x:c>
      <x:c r="B34" s="29" t="str">
        <x:v>Viral eye infection</x:v>
      </x:c>
      <x:c r="C34" s="29" t="n">
        <x:v>0</x:v>
      </x:c>
      <x:c r="D34" s="29" t="n">
        <x:f>Raw_table_S8!D34-Raw_table_S8!E34-Raw_table_S8!F34+Raw_table_S8!J34-Raw_table_S8!K34-Raw_table_S8!L34</x:f>
        <x:v>0</x:v>
      </x:c>
      <x:c r="E34" s="29" t="n">
        <x:f>Raw_table_S8!G34-Raw_table_S8!H34-Raw_table_S8!I34+Raw_table_S8!M34-Raw_table_S8!N34-Raw_table_S8!O34</x:f>
        <x:v>1</x:v>
      </x:c>
      <x:c r="F34" s="29" t="n">
        <x:f>Raw_table_S8!E34+Raw_table_S8!F34+Raw_table_S8!K34+Raw_table_S8!L34</x:f>
        <x:v>0</x:v>
      </x:c>
      <x:c r="G34" s="29" t="n">
        <x:f>Raw_table_S8!H34+Raw_table_S8!I34+Raw_table_S8!N34+Raw_table_S8!O34</x:f>
        <x:v>0</x:v>
      </x:c>
      <x:c r="H34" s="29" t="n">
        <x:v>42</x:v>
      </x:c>
      <x:c r="I34" s="29" t="n">
        <x:v>42</x:v>
      </x:c>
      <x:c r="J34" s="29" t="n">
        <x:v>42</x:v>
      </x:c>
      <x:c r="K34" s="29" t="n">
        <x:v>42</x:v>
      </x:c>
      <x:c r="L34" s="34" t="n">
        <x:f>D34/H34</x:f>
        <x:v>0</x:v>
      </x:c>
      <x:c r="M34" s="34" t="n">
        <x:f>E34/I34</x:f>
        <x:v>0.023809523809523808</x:v>
      </x:c>
      <x:c r="N34" s="34" t="n">
        <x:f>F34/J34</x:f>
        <x:v>0</x:v>
      </x:c>
      <x:c r="O34" s="34" t="n">
        <x:f>G34/K34</x:f>
        <x:v>0</x:v>
      </x:c>
      <x:c r="P34" s="29" t="str">
        <x:v>(P1 LSD Total - P1 LSD Between - P1 LSD W2) + (P2 LSD Total - P2 LSD Between - P2 LSD W2)</x:v>
      </x:c>
      <x:c r="Q34" s="29" t="str">
        <x:v>(P1 Placebo Total - P1 Placebo Between - P1 Placebo W2) + (P2 Placebo Total - P2 Placebo Between - P2 Placebo W2)</x:v>
      </x:c>
      <x:c r="R34" s="29" t="str">
        <x:v>(P1 LSD Between + P1 LSD W2) + (P2 LSD Between + P2 LSD W2)</x:v>
      </x:c>
      <x:c r="S34" s="30" t="str">
        <x:v>(P1 Placebo Between + P1 Placebo W2) + (P2 Placebo Between + P2 Placebo W2)</x:v>
      </x:c>
    </x:row>
    <x:row r="35">
      <x:c r="A35" s="28" t="str">
        <x:v>Other</x:v>
      </x:c>
      <x:c r="B35" s="29" t="str">
        <x:v>Bronchitis</x:v>
      </x:c>
      <x:c r="C35" s="29" t="n">
        <x:v>0</x:v>
      </x:c>
      <x:c r="D35" s="29" t="n">
        <x:f>Raw_table_S8!D35-Raw_table_S8!E35-Raw_table_S8!F35+Raw_table_S8!J35-Raw_table_S8!K35-Raw_table_S8!L35</x:f>
        <x:v>0</x:v>
      </x:c>
      <x:c r="E35" s="29" t="n">
        <x:f>Raw_table_S8!G35-Raw_table_S8!H35-Raw_table_S8!I35+Raw_table_S8!M35-Raw_table_S8!N35-Raw_table_S8!O35</x:f>
        <x:v>1</x:v>
      </x:c>
      <x:c r="F35" s="29" t="n">
        <x:f>Raw_table_S8!E35+Raw_table_S8!F35+Raw_table_S8!K35+Raw_table_S8!L35</x:f>
        <x:v>0</x:v>
      </x:c>
      <x:c r="G35" s="29" t="n">
        <x:f>Raw_table_S8!H35+Raw_table_S8!I35+Raw_table_S8!N35+Raw_table_S8!O35</x:f>
        <x:v>0</x:v>
      </x:c>
      <x:c r="H35" s="29" t="n">
        <x:v>42</x:v>
      </x:c>
      <x:c r="I35" s="29" t="n">
        <x:v>42</x:v>
      </x:c>
      <x:c r="J35" s="29" t="n">
        <x:v>42</x:v>
      </x:c>
      <x:c r="K35" s="29" t="n">
        <x:v>42</x:v>
      </x:c>
      <x:c r="L35" s="34" t="n">
        <x:f>D35/H35</x:f>
        <x:v>0</x:v>
      </x:c>
      <x:c r="M35" s="34" t="n">
        <x:f>E35/I35</x:f>
        <x:v>0.023809523809523808</x:v>
      </x:c>
      <x:c r="N35" s="34" t="n">
        <x:f>F35/J35</x:f>
        <x:v>0</x:v>
      </x:c>
      <x:c r="O35" s="34" t="n">
        <x:f>G35/K35</x:f>
        <x:v>0</x:v>
      </x:c>
      <x:c r="P35" s="29" t="str">
        <x:v>(P1 LSD Total - P1 LSD Between - P1 LSD W2) + (P2 LSD Total - P2 LSD Between - P2 LSD W2)</x:v>
      </x:c>
      <x:c r="Q35" s="29" t="str">
        <x:v>(P1 Placebo Total - P1 Placebo Between - P1 Placebo W2) + (P2 Placebo Total - P2 Placebo Between - P2 Placebo W2)</x:v>
      </x:c>
      <x:c r="R35" s="29" t="str">
        <x:v>(P1 LSD Between + P1 LSD W2) + (P2 LSD Between + P2 LSD W2)</x:v>
      </x:c>
      <x:c r="S35" s="30" t="str">
        <x:v>(P1 Placebo Between + P1 Placebo W2) + (P2 Placebo Between + P2 Placebo W2)</x:v>
      </x:c>
    </x:row>
    <x:row r="36">
      <x:c r="A36" s="28" t="str">
        <x:v>Other</x:v>
      </x:c>
      <x:c r="B36" s="29" t="str">
        <x:v>Sigmoiditis</x:v>
      </x:c>
      <x:c r="C36" s="29" t="n">
        <x:v>0</x:v>
      </x:c>
      <x:c r="D36" s="29" t="n">
        <x:f>Raw_table_S8!D36-Raw_table_S8!E36-Raw_table_S8!F36+Raw_table_S8!J36-Raw_table_S8!K36-Raw_table_S8!L36</x:f>
        <x:v>1</x:v>
      </x:c>
      <x:c r="E36" s="29" t="n">
        <x:f>Raw_table_S8!G36-Raw_table_S8!H36-Raw_table_S8!I36+Raw_table_S8!M36-Raw_table_S8!N36-Raw_table_S8!O36</x:f>
        <x:v>0</x:v>
      </x:c>
      <x:c r="F36" s="29" t="n">
        <x:f>Raw_table_S8!E36+Raw_table_S8!F36+Raw_table_S8!K36+Raw_table_S8!L36</x:f>
        <x:v>0</x:v>
      </x:c>
      <x:c r="G36" s="29" t="n">
        <x:f>Raw_table_S8!H36+Raw_table_S8!I36+Raw_table_S8!N36+Raw_table_S8!O36</x:f>
        <x:v>0</x:v>
      </x:c>
      <x:c r="H36" s="29" t="n">
        <x:v>42</x:v>
      </x:c>
      <x:c r="I36" s="29" t="n">
        <x:v>42</x:v>
      </x:c>
      <x:c r="J36" s="29" t="n">
        <x:v>42</x:v>
      </x:c>
      <x:c r="K36" s="29" t="n">
        <x:v>42</x:v>
      </x:c>
      <x:c r="L36" s="34" t="n">
        <x:f>D36/H36</x:f>
        <x:v>0.023809523809523808</x:v>
      </x:c>
      <x:c r="M36" s="34" t="n">
        <x:f>E36/I36</x:f>
        <x:v>0</x:v>
      </x:c>
      <x:c r="N36" s="34" t="n">
        <x:f>F36/J36</x:f>
        <x:v>0</x:v>
      </x:c>
      <x:c r="O36" s="34" t="n">
        <x:f>G36/K36</x:f>
        <x:v>0</x:v>
      </x:c>
      <x:c r="P36" s="29" t="str">
        <x:v>(P1 LSD Total - P1 LSD Between - P1 LSD W2) + (P2 LSD Total - P2 LSD Between - P2 LSD W2)</x:v>
      </x:c>
      <x:c r="Q36" s="29" t="str">
        <x:v>(P1 Placebo Total - P1 Placebo Between - P1 Placebo W2) + (P2 Placebo Total - P2 Placebo Between - P2 Placebo W2)</x:v>
      </x:c>
      <x:c r="R36" s="29" t="str">
        <x:v>(P1 LSD Between + P1 LSD W2) + (P2 LSD Between + P2 LSD W2)</x:v>
      </x:c>
      <x:c r="S36" s="30" t="str">
        <x:v>(P1 Placebo Between + P1 Placebo W2) + (P2 Placebo Between + P2 Placebo W2)</x:v>
      </x:c>
    </x:row>
    <x:row r="37">
      <x:c r="A37" s="28" t="str">
        <x:v>Other</x:v>
      </x:c>
      <x:c r="B37" s="29" t="str">
        <x:v>Insect bite</x:v>
      </x:c>
      <x:c r="C37" s="29" t="n">
        <x:v>0</x:v>
      </x:c>
      <x:c r="D37" s="29" t="n">
        <x:f>Raw_table_S8!D37-Raw_table_S8!E37-Raw_table_S8!F37+Raw_table_S8!J37-Raw_table_S8!K37-Raw_table_S8!L37</x:f>
        <x:v>0</x:v>
      </x:c>
      <x:c r="E37" s="29" t="n">
        <x:f>Raw_table_S8!G37-Raw_table_S8!H37-Raw_table_S8!I37+Raw_table_S8!M37-Raw_table_S8!N37-Raw_table_S8!O37</x:f>
        <x:v>1</x:v>
      </x:c>
      <x:c r="F37" s="29" t="n">
        <x:f>Raw_table_S8!E37+Raw_table_S8!F37+Raw_table_S8!K37+Raw_table_S8!L37</x:f>
        <x:v>0</x:v>
      </x:c>
      <x:c r="G37" s="29" t="n">
        <x:f>Raw_table_S8!H37+Raw_table_S8!I37+Raw_table_S8!N37+Raw_table_S8!O37</x:f>
        <x:v>0</x:v>
      </x:c>
      <x:c r="H37" s="29" t="n">
        <x:v>42</x:v>
      </x:c>
      <x:c r="I37" s="29" t="n">
        <x:v>42</x:v>
      </x:c>
      <x:c r="J37" s="29" t="n">
        <x:v>42</x:v>
      </x:c>
      <x:c r="K37" s="29" t="n">
        <x:v>42</x:v>
      </x:c>
      <x:c r="L37" s="34" t="n">
        <x:f>D37/H37</x:f>
        <x:v>0</x:v>
      </x:c>
      <x:c r="M37" s="34" t="n">
        <x:f>E37/I37</x:f>
        <x:v>0.023809523809523808</x:v>
      </x:c>
      <x:c r="N37" s="34" t="n">
        <x:f>F37/J37</x:f>
        <x:v>0</x:v>
      </x:c>
      <x:c r="O37" s="34" t="n">
        <x:f>G37/K37</x:f>
        <x:v>0</x:v>
      </x:c>
      <x:c r="P37" s="29" t="str">
        <x:v>(P1 LSD Total - P1 LSD Between - P1 LSD W2) + (P2 LSD Total - P2 LSD Between - P2 LSD W2)</x:v>
      </x:c>
      <x:c r="Q37" s="29" t="str">
        <x:v>(P1 Placebo Total - P1 Placebo Between - P1 Placebo W2) + (P2 Placebo Total - P2 Placebo Between - P2 Placebo W2)</x:v>
      </x:c>
      <x:c r="R37" s="29" t="str">
        <x:v>(P1 LSD Between + P1 LSD W2) + (P2 LSD Between + P2 LSD W2)</x:v>
      </x:c>
      <x:c r="S37" s="30" t="str">
        <x:v>(P1 Placebo Between + P1 Placebo W2) + (P2 Placebo Between + P2 Placebo W2)</x:v>
      </x:c>
    </x:row>
    <x:row r="38">
      <x:c r="A38" s="28" t="str">
        <x:v>Other</x:v>
      </x:c>
      <x:c r="B38" s="29" t="str">
        <x:v>Torticollis</x:v>
      </x:c>
      <x:c r="C38" s="29" t="n">
        <x:v>0</x:v>
      </x:c>
      <x:c r="D38" s="29" t="n">
        <x:f>Raw_table_S8!D38-Raw_table_S8!E38-Raw_table_S8!F38+Raw_table_S8!J38-Raw_table_S8!K38-Raw_table_S8!L38</x:f>
        <x:v>0</x:v>
      </x:c>
      <x:c r="E38" s="29" t="n">
        <x:f>Raw_table_S8!G38-Raw_table_S8!H38-Raw_table_S8!I38+Raw_table_S8!M38-Raw_table_S8!N38-Raw_table_S8!O38</x:f>
        <x:v>1</x:v>
      </x:c>
      <x:c r="F38" s="29" t="n">
        <x:f>Raw_table_S8!E38+Raw_table_S8!F38+Raw_table_S8!K38+Raw_table_S8!L38</x:f>
        <x:v>0</x:v>
      </x:c>
      <x:c r="G38" s="29" t="n">
        <x:f>Raw_table_S8!H38+Raw_table_S8!I38+Raw_table_S8!N38+Raw_table_S8!O38</x:f>
        <x:v>0</x:v>
      </x:c>
      <x:c r="H38" s="29" t="n">
        <x:v>42</x:v>
      </x:c>
      <x:c r="I38" s="29" t="n">
        <x:v>42</x:v>
      </x:c>
      <x:c r="J38" s="29" t="n">
        <x:v>42</x:v>
      </x:c>
      <x:c r="K38" s="29" t="n">
        <x:v>42</x:v>
      </x:c>
      <x:c r="L38" s="34" t="n">
        <x:f>D38/H38</x:f>
        <x:v>0</x:v>
      </x:c>
      <x:c r="M38" s="34" t="n">
        <x:f>E38/I38</x:f>
        <x:v>0.023809523809523808</x:v>
      </x:c>
      <x:c r="N38" s="34" t="n">
        <x:f>F38/J38</x:f>
        <x:v>0</x:v>
      </x:c>
      <x:c r="O38" s="34" t="n">
        <x:f>G38/K38</x:f>
        <x:v>0</x:v>
      </x:c>
      <x:c r="P38" s="29" t="str">
        <x:v>(P1 LSD Total - P1 LSD Between - P1 LSD W2) + (P2 LSD Total - P2 LSD Between - P2 LSD W2)</x:v>
      </x:c>
      <x:c r="Q38" s="29" t="str">
        <x:v>(P1 Placebo Total - P1 Placebo Between - P1 Placebo W2) + (P2 Placebo Total - P2 Placebo Between - P2 Placebo W2)</x:v>
      </x:c>
      <x:c r="R38" s="29" t="str">
        <x:v>(P1 LSD Between + P1 LSD W2) + (P2 LSD Between + P2 LSD W2)</x:v>
      </x:c>
      <x:c r="S38" s="30" t="str">
        <x:v>(P1 Placebo Between + P1 Placebo W2) + (P2 Placebo Between + P2 Placebo W2)</x:v>
      </x:c>
    </x:row>
    <x:row r="39">
      <x:c r="A39" s="28" t="str">
        <x:v>Other</x:v>
      </x:c>
      <x:c r="B39" s="29" t="str">
        <x:v>Eczema</x:v>
      </x:c>
      <x:c r="C39" s="29" t="n">
        <x:v>0</x:v>
      </x:c>
      <x:c r="D39" s="29" t="n">
        <x:f>Raw_table_S8!D39-Raw_table_S8!E39-Raw_table_S8!F39+Raw_table_S8!J39-Raw_table_S8!K39-Raw_table_S8!L39</x:f>
        <x:v>0</x:v>
      </x:c>
      <x:c r="E39" s="29" t="n">
        <x:f>Raw_table_S8!G39-Raw_table_S8!H39-Raw_table_S8!I39+Raw_table_S8!M39-Raw_table_S8!N39-Raw_table_S8!O39</x:f>
        <x:v>0</x:v>
      </x:c>
      <x:c r="F39" s="29" t="n">
        <x:f>Raw_table_S8!E39+Raw_table_S8!F39+Raw_table_S8!K39+Raw_table_S8!L39</x:f>
        <x:v>1</x:v>
      </x:c>
      <x:c r="G39" s="29" t="n">
        <x:f>Raw_table_S8!H39+Raw_table_S8!I39+Raw_table_S8!N39+Raw_table_S8!O39</x:f>
        <x:v>0</x:v>
      </x:c>
      <x:c r="H39" s="29" t="n">
        <x:v>42</x:v>
      </x:c>
      <x:c r="I39" s="29" t="n">
        <x:v>42</x:v>
      </x:c>
      <x:c r="J39" s="29" t="n">
        <x:v>42</x:v>
      </x:c>
      <x:c r="K39" s="29" t="n">
        <x:v>42</x:v>
      </x:c>
      <x:c r="L39" s="34" t="n">
        <x:f>D39/H39</x:f>
        <x:v>0</x:v>
      </x:c>
      <x:c r="M39" s="34" t="n">
        <x:f>E39/I39</x:f>
        <x:v>0</x:v>
      </x:c>
      <x:c r="N39" s="34" t="n">
        <x:f>F39/J39</x:f>
        <x:v>0.023809523809523808</x:v>
      </x:c>
      <x:c r="O39" s="34" t="n">
        <x:f>G39/K39</x:f>
        <x:v>0</x:v>
      </x:c>
      <x:c r="P39" s="29" t="str">
        <x:v>(P1 LSD Total - P1 LSD Between - P1 LSD W2) + (P2 LSD Total - P2 LSD Between - P2 LSD W2)</x:v>
      </x:c>
      <x:c r="Q39" s="29" t="str">
        <x:v>(P1 Placebo Total - P1 Placebo Between - P1 Placebo W2) + (P2 Placebo Total - P2 Placebo Between - P2 Placebo W2)</x:v>
      </x:c>
      <x:c r="R39" s="29" t="str">
        <x:v>(P1 LSD Between + P1 LSD W2) + (P2 LSD Between + P2 LSD W2)</x:v>
      </x:c>
      <x:c r="S39" s="30" t="str">
        <x:v>(P1 Placebo Between + P1 Placebo W2) + (P2 Placebo Between + P2 Placebo W2)</x:v>
      </x:c>
    </x:row>
    <x:row r="40">
      <x:c r="A40" s="28" t="str">
        <x:v>Other</x:v>
      </x:c>
      <x:c r="B40" s="29" t="str">
        <x:v>Vaginalmycosis</x:v>
      </x:c>
      <x:c r="C40" s="29" t="n">
        <x:v>0</x:v>
      </x:c>
      <x:c r="D40" s="29" t="n">
        <x:f>Raw_table_S8!D40-Raw_table_S8!E40-Raw_table_S8!F40+Raw_table_S8!J40-Raw_table_S8!K40-Raw_table_S8!L40</x:f>
        <x:v>0</x:v>
      </x:c>
      <x:c r="E40" s="29" t="n">
        <x:f>Raw_table_S8!G40-Raw_table_S8!H40-Raw_table_S8!I40+Raw_table_S8!M40-Raw_table_S8!N40-Raw_table_S8!O40</x:f>
        <x:v>1</x:v>
      </x:c>
      <x:c r="F40" s="29" t="n">
        <x:f>Raw_table_S8!E40+Raw_table_S8!F40+Raw_table_S8!K40+Raw_table_S8!L40</x:f>
        <x:v>0</x:v>
      </x:c>
      <x:c r="G40" s="29" t="n">
        <x:f>Raw_table_S8!H40+Raw_table_S8!I40+Raw_table_S8!N40+Raw_table_S8!O40</x:f>
        <x:v>0</x:v>
      </x:c>
      <x:c r="H40" s="29" t="n">
        <x:v>42</x:v>
      </x:c>
      <x:c r="I40" s="29" t="n">
        <x:v>42</x:v>
      </x:c>
      <x:c r="J40" s="29" t="n">
        <x:v>42</x:v>
      </x:c>
      <x:c r="K40" s="29" t="n">
        <x:v>42</x:v>
      </x:c>
      <x:c r="L40" s="34" t="n">
        <x:f>D40/H40</x:f>
        <x:v>0</x:v>
      </x:c>
      <x:c r="M40" s="34" t="n">
        <x:f>E40/I40</x:f>
        <x:v>0.023809523809523808</x:v>
      </x:c>
      <x:c r="N40" s="34" t="n">
        <x:f>F40/J40</x:f>
        <x:v>0</x:v>
      </x:c>
      <x:c r="O40" s="34" t="n">
        <x:f>G40/K40</x:f>
        <x:v>0</x:v>
      </x:c>
      <x:c r="P40" s="29" t="str">
        <x:v>(P1 LSD Total - P1 LSD Between - P1 LSD W2) + (P2 LSD Total - P2 LSD Between - P2 LSD W2)</x:v>
      </x:c>
      <x:c r="Q40" s="29" t="str">
        <x:v>(P1 Placebo Total - P1 Placebo Between - P1 Placebo W2) + (P2 Placebo Total - P2 Placebo Between - P2 Placebo W2)</x:v>
      </x:c>
      <x:c r="R40" s="29" t="str">
        <x:v>(P1 LSD Between + P1 LSD W2) + (P2 LSD Between + P2 LSD W2)</x:v>
      </x:c>
      <x:c r="S40" s="30" t="str">
        <x:v>(P1 Placebo Between + P1 Placebo W2) + (P2 Placebo Between + P2 Placebo W2)</x:v>
      </x:c>
    </x:row>
    <x:row r="41">
      <x:c r="A41" s="28" t="str">
        <x:v>Other</x:v>
      </x:c>
      <x:c r="B41" s="29" t="str">
        <x:v>Urinary infection</x:v>
      </x:c>
      <x:c r="C41" s="29" t="n">
        <x:v>0</x:v>
      </x:c>
      <x:c r="D41" s="29" t="n">
        <x:f>Raw_table_S8!D41-Raw_table_S8!E41-Raw_table_S8!F41+Raw_table_S8!J41-Raw_table_S8!K41-Raw_table_S8!L41</x:f>
        <x:v>0</x:v>
      </x:c>
      <x:c r="E41" s="29" t="n">
        <x:f>Raw_table_S8!G41-Raw_table_S8!H41-Raw_table_S8!I41+Raw_table_S8!M41-Raw_table_S8!N41-Raw_table_S8!O41</x:f>
        <x:v>0</x:v>
      </x:c>
      <x:c r="F41" s="29" t="n">
        <x:f>Raw_table_S8!E41+Raw_table_S8!F41+Raw_table_S8!K41+Raw_table_S8!L41</x:f>
        <x:v>0</x:v>
      </x:c>
      <x:c r="G41" s="29" t="n">
        <x:f>Raw_table_S8!H41+Raw_table_S8!I41+Raw_table_S8!N41+Raw_table_S8!O41</x:f>
        <x:v>1</x:v>
      </x:c>
      <x:c r="H41" s="29" t="n">
        <x:v>42</x:v>
      </x:c>
      <x:c r="I41" s="29" t="n">
        <x:v>42</x:v>
      </x:c>
      <x:c r="J41" s="29" t="n">
        <x:v>42</x:v>
      </x:c>
      <x:c r="K41" s="29" t="n">
        <x:v>42</x:v>
      </x:c>
      <x:c r="L41" s="34" t="n">
        <x:f>D41/H41</x:f>
        <x:v>0</x:v>
      </x:c>
      <x:c r="M41" s="34" t="n">
        <x:f>E41/I41</x:f>
        <x:v>0</x:v>
      </x:c>
      <x:c r="N41" s="34" t="n">
        <x:f>F41/J41</x:f>
        <x:v>0</x:v>
      </x:c>
      <x:c r="O41" s="34" t="n">
        <x:f>G41/K41</x:f>
        <x:v>0.023809523809523808</x:v>
      </x:c>
      <x:c r="P41" s="29" t="str">
        <x:v>(P1 LSD Total - P1 LSD Between - P1 LSD W2) + (P2 LSD Total - P2 LSD Between - P2 LSD W2)</x:v>
      </x:c>
      <x:c r="Q41" s="29" t="str">
        <x:v>(P1 Placebo Total - P1 Placebo Between - P1 Placebo W2) + (P2 Placebo Total - P2 Placebo Between - P2 Placebo W2)</x:v>
      </x:c>
      <x:c r="R41" s="29" t="str">
        <x:v>(P1 LSD Between + P1 LSD W2) + (P2 LSD Between + P2 LSD W2)</x:v>
      </x:c>
      <x:c r="S41" s="30" t="str">
        <x:v>(P1 Placebo Between + P1 Placebo W2) + (P2 Placebo Between + P2 Placebo W2)</x:v>
      </x:c>
    </x:row>
    <x:row r="42">
      <x:c r="A42" s="28" t="str">
        <x:v>Other</x:v>
      </x:c>
      <x:c r="B42" s="29" t="str">
        <x:v>Toothache</x:v>
      </x:c>
      <x:c r="C42" s="29" t="n">
        <x:v>0</x:v>
      </x:c>
      <x:c r="D42" s="29" t="n">
        <x:f>Raw_table_S8!D42-Raw_table_S8!E42-Raw_table_S8!F42+Raw_table_S8!J42-Raw_table_S8!K42-Raw_table_S8!L42</x:f>
        <x:v>0</x:v>
      </x:c>
      <x:c r="E42" s="29" t="n">
        <x:f>Raw_table_S8!G42-Raw_table_S8!H42-Raw_table_S8!I42+Raw_table_S8!M42-Raw_table_S8!N42-Raw_table_S8!O42</x:f>
        <x:v>1</x:v>
      </x:c>
      <x:c r="F42" s="29" t="n">
        <x:f>Raw_table_S8!E42+Raw_table_S8!F42+Raw_table_S8!K42+Raw_table_S8!L42</x:f>
        <x:v>0</x:v>
      </x:c>
      <x:c r="G42" s="29" t="n">
        <x:f>Raw_table_S8!H42+Raw_table_S8!I42+Raw_table_S8!N42+Raw_table_S8!O42</x:f>
        <x:v>0</x:v>
      </x:c>
      <x:c r="H42" s="29" t="n">
        <x:v>42</x:v>
      </x:c>
      <x:c r="I42" s="29" t="n">
        <x:v>42</x:v>
      </x:c>
      <x:c r="J42" s="29" t="n">
        <x:v>42</x:v>
      </x:c>
      <x:c r="K42" s="29" t="n">
        <x:v>42</x:v>
      </x:c>
      <x:c r="L42" s="34" t="n">
        <x:f>D42/H42</x:f>
        <x:v>0</x:v>
      </x:c>
      <x:c r="M42" s="34" t="n">
        <x:f>E42/I42</x:f>
        <x:v>0.023809523809523808</x:v>
      </x:c>
      <x:c r="N42" s="34" t="n">
        <x:f>F42/J42</x:f>
        <x:v>0</x:v>
      </x:c>
      <x:c r="O42" s="34" t="n">
        <x:f>G42/K42</x:f>
        <x:v>0</x:v>
      </x:c>
      <x:c r="P42" s="29" t="str">
        <x:v>(P1 LSD Total - P1 LSD Between - P1 LSD W2) + (P2 LSD Total - P2 LSD Between - P2 LSD W2)</x:v>
      </x:c>
      <x:c r="Q42" s="29" t="str">
        <x:v>(P1 Placebo Total - P1 Placebo Between - P1 Placebo W2) + (P2 Placebo Total - P2 Placebo Between - P2 Placebo W2)</x:v>
      </x:c>
      <x:c r="R42" s="29" t="str">
        <x:v>(P1 LSD Between + P1 LSD W2) + (P2 LSD Between + P2 LSD W2)</x:v>
      </x:c>
      <x:c r="S42" s="30" t="str">
        <x:v>(P1 Placebo Between + P1 Placebo W2) + (P2 Placebo Between + P2 Placebo W2)</x:v>
      </x:c>
    </x:row>
    <x:row r="43">
      <x:c r="A43" s="28" t="str">
        <x:v>Other</x:v>
      </x:c>
      <x:c r="B43" s="29" t="str">
        <x:v>Dizziness after deduction of escitalopram</x:v>
      </x:c>
      <x:c r="C43" s="29" t="n">
        <x:v>0</x:v>
      </x:c>
      <x:c r="D43" s="29" t="n">
        <x:f>Raw_table_S8!D43-Raw_table_S8!E43-Raw_table_S8!F43+Raw_table_S8!J43-Raw_table_S8!K43-Raw_table_S8!L43</x:f>
        <x:v>1</x:v>
      </x:c>
      <x:c r="E43" s="29" t="n">
        <x:f>Raw_table_S8!G43-Raw_table_S8!H43-Raw_table_S8!I43+Raw_table_S8!M43-Raw_table_S8!N43-Raw_table_S8!O43</x:f>
        <x:v>0</x:v>
      </x:c>
      <x:c r="F43" s="29" t="n">
        <x:f>Raw_table_S8!E43+Raw_table_S8!F43+Raw_table_S8!K43+Raw_table_S8!L43</x:f>
        <x:v>0</x:v>
      </x:c>
      <x:c r="G43" s="29" t="n">
        <x:f>Raw_table_S8!H43+Raw_table_S8!I43+Raw_table_S8!N43+Raw_table_S8!O43</x:f>
        <x:v>0</x:v>
      </x:c>
      <x:c r="H43" s="29" t="n">
        <x:v>42</x:v>
      </x:c>
      <x:c r="I43" s="29" t="n">
        <x:v>42</x:v>
      </x:c>
      <x:c r="J43" s="29" t="n">
        <x:v>42</x:v>
      </x:c>
      <x:c r="K43" s="29" t="n">
        <x:v>42</x:v>
      </x:c>
      <x:c r="L43" s="34" t="n">
        <x:f>D43/H43</x:f>
        <x:v>0.023809523809523808</x:v>
      </x:c>
      <x:c r="M43" s="34" t="n">
        <x:f>E43/I43</x:f>
        <x:v>0</x:v>
      </x:c>
      <x:c r="N43" s="34" t="n">
        <x:f>F43/J43</x:f>
        <x:v>0</x:v>
      </x:c>
      <x:c r="O43" s="34" t="n">
        <x:f>G43/K43</x:f>
        <x:v>0</x:v>
      </x:c>
      <x:c r="P43" s="29" t="str">
        <x:v>(P1 LSD Total - P1 LSD Between - P1 LSD W2) + (P2 LSD Total - P2 LSD Between - P2 LSD W2)</x:v>
      </x:c>
      <x:c r="Q43" s="29" t="str">
        <x:v>(P1 Placebo Total - P1 Placebo Between - P1 Placebo W2) + (P2 Placebo Total - P2 Placebo Between - P2 Placebo W2)</x:v>
      </x:c>
      <x:c r="R43" s="29" t="str">
        <x:v>(P1 LSD Between + P1 LSD W2) + (P2 LSD Between + P2 LSD W2)</x:v>
      </x:c>
      <x:c r="S43" s="30" t="str">
        <x:v>(P1 Placebo Between + P1 Placebo W2) + (P2 Placebo Between + P2 Placebo W2)</x:v>
      </x:c>
    </x:row>
    <x:row r="44">
      <x:c r="A44" s="28" t="str">
        <x:v>Other</x:v>
      </x:c>
      <x:c r="B44" s="29" t="str">
        <x:v>Groin and testicle pain</x:v>
      </x:c>
      <x:c r="C44" s="29" t="n">
        <x:v>0</x:v>
      </x:c>
      <x:c r="D44" s="29" t="n">
        <x:f>Raw_table_S8!D44-Raw_table_S8!E44-Raw_table_S8!F44+Raw_table_S8!J44-Raw_table_S8!K44-Raw_table_S8!L44</x:f>
        <x:v>1</x:v>
      </x:c>
      <x:c r="E44" s="29" t="n">
        <x:f>Raw_table_S8!G44-Raw_table_S8!H44-Raw_table_S8!I44+Raw_table_S8!M44-Raw_table_S8!N44-Raw_table_S8!O44</x:f>
        <x:v>0</x:v>
      </x:c>
      <x:c r="F44" s="29" t="n">
        <x:f>Raw_table_S8!E44+Raw_table_S8!F44+Raw_table_S8!K44+Raw_table_S8!L44</x:f>
        <x:v>0</x:v>
      </x:c>
      <x:c r="G44" s="29" t="n">
        <x:f>Raw_table_S8!H44+Raw_table_S8!I44+Raw_table_S8!N44+Raw_table_S8!O44</x:f>
        <x:v>0</x:v>
      </x:c>
      <x:c r="H44" s="29" t="n">
        <x:v>42</x:v>
      </x:c>
      <x:c r="I44" s="29" t="n">
        <x:v>42</x:v>
      </x:c>
      <x:c r="J44" s="29" t="n">
        <x:v>42</x:v>
      </x:c>
      <x:c r="K44" s="29" t="n">
        <x:v>42</x:v>
      </x:c>
      <x:c r="L44" s="34" t="n">
        <x:f>D44/H44</x:f>
        <x:v>0.023809523809523808</x:v>
      </x:c>
      <x:c r="M44" s="34" t="n">
        <x:f>E44/I44</x:f>
        <x:v>0</x:v>
      </x:c>
      <x:c r="N44" s="34" t="n">
        <x:f>F44/J44</x:f>
        <x:v>0</x:v>
      </x:c>
      <x:c r="O44" s="34" t="n">
        <x:f>G44/K44</x:f>
        <x:v>0</x:v>
      </x:c>
      <x:c r="P44" s="29" t="str">
        <x:v>(P1 LSD Total - P1 LSD Between - P1 LSD W2) + (P2 LSD Total - P2 LSD Between - P2 LSD W2)</x:v>
      </x:c>
      <x:c r="Q44" s="29" t="str">
        <x:v>(P1 Placebo Total - P1 Placebo Between - P1 Placebo W2) + (P2 Placebo Total - P2 Placebo Between - P2 Placebo W2)</x:v>
      </x:c>
      <x:c r="R44" s="29" t="str">
        <x:v>(P1 LSD Between + P1 LSD W2) + (P2 LSD Between + P2 LSD W2)</x:v>
      </x:c>
      <x:c r="S44" s="30" t="str">
        <x:v>(P1 Placebo Between + P1 Placebo W2) + (P2 Placebo Between + P2 Placebo W2)</x:v>
      </x:c>
    </x:row>
    <x:row r="45">
      <x:c r="A45" s="28" t="str">
        <x:v>Other</x:v>
      </x:c>
      <x:c r="B45" s="29" t="str">
        <x:v>Shingles</x:v>
      </x:c>
      <x:c r="C45" s="29" t="n">
        <x:v>0</x:v>
      </x:c>
      <x:c r="D45" s="29" t="n">
        <x:f>Raw_table_S8!D45-Raw_table_S8!E45-Raw_table_S8!F45+Raw_table_S8!J45-Raw_table_S8!K45-Raw_table_S8!L45</x:f>
        <x:v>0</x:v>
      </x:c>
      <x:c r="E45" s="29" t="n">
        <x:f>Raw_table_S8!G45-Raw_table_S8!H45-Raw_table_S8!I45+Raw_table_S8!M45-Raw_table_S8!N45-Raw_table_S8!O45</x:f>
        <x:v>1</x:v>
      </x:c>
      <x:c r="F45" s="29" t="n">
        <x:f>Raw_table_S8!E45+Raw_table_S8!F45+Raw_table_S8!K45+Raw_table_S8!L45</x:f>
        <x:v>0</x:v>
      </x:c>
      <x:c r="G45" s="29" t="n">
        <x:f>Raw_table_S8!H45+Raw_table_S8!I45+Raw_table_S8!N45+Raw_table_S8!O45</x:f>
        <x:v>0</x:v>
      </x:c>
      <x:c r="H45" s="29" t="n">
        <x:v>42</x:v>
      </x:c>
      <x:c r="I45" s="29" t="n">
        <x:v>42</x:v>
      </x:c>
      <x:c r="J45" s="29" t="n">
        <x:v>42</x:v>
      </x:c>
      <x:c r="K45" s="29" t="n">
        <x:v>42</x:v>
      </x:c>
      <x:c r="L45" s="34" t="n">
        <x:f>D45/H45</x:f>
        <x:v>0</x:v>
      </x:c>
      <x:c r="M45" s="34" t="n">
        <x:f>E45/I45</x:f>
        <x:v>0.023809523809523808</x:v>
      </x:c>
      <x:c r="N45" s="34" t="n">
        <x:f>F45/J45</x:f>
        <x:v>0</x:v>
      </x:c>
      <x:c r="O45" s="34" t="n">
        <x:f>G45/K45</x:f>
        <x:v>0</x:v>
      </x:c>
      <x:c r="P45" s="29" t="str">
        <x:v>(P1 LSD Total - P1 LSD Between - P1 LSD W2) + (P2 LSD Total - P2 LSD Between - P2 LSD W2)</x:v>
      </x:c>
      <x:c r="Q45" s="29" t="str">
        <x:v>(P1 Placebo Total - P1 Placebo Between - P1 Placebo W2) + (P2 Placebo Total - P2 Placebo Between - P2 Placebo W2)</x:v>
      </x:c>
      <x:c r="R45" s="29" t="str">
        <x:v>(P1 LSD Between + P1 LSD W2) + (P2 LSD Between + P2 LSD W2)</x:v>
      </x:c>
      <x:c r="S45" s="30" t="str">
        <x:v>(P1 Placebo Between + P1 Placebo W2) + (P2 Placebo Between + P2 Placebo W2)</x:v>
      </x:c>
    </x:row>
    <x:row r="46">
      <x:c r="A46" s="28" t="str">
        <x:v>Other</x:v>
      </x:c>
      <x:c r="B46" s="29" t="str">
        <x:v>Ischialgia</x:v>
      </x:c>
      <x:c r="C46" s="29" t="n">
        <x:v>0</x:v>
      </x:c>
      <x:c r="D46" s="29" t="n">
        <x:f>Raw_table_S8!D46-Raw_table_S8!E46-Raw_table_S8!F46+Raw_table_S8!J46-Raw_table_S8!K46-Raw_table_S8!L46</x:f>
        <x:v>0</x:v>
      </x:c>
      <x:c r="E46" s="29" t="n">
        <x:f>Raw_table_S8!G46-Raw_table_S8!H46-Raw_table_S8!I46+Raw_table_S8!M46-Raw_table_S8!N46-Raw_table_S8!O46</x:f>
        <x:v>0</x:v>
      </x:c>
      <x:c r="F46" s="29" t="n">
        <x:f>Raw_table_S8!E46+Raw_table_S8!F46+Raw_table_S8!K46+Raw_table_S8!L46</x:f>
        <x:v>0</x:v>
      </x:c>
      <x:c r="G46" s="29" t="n">
        <x:f>Raw_table_S8!H46+Raw_table_S8!I46+Raw_table_S8!N46+Raw_table_S8!O46</x:f>
        <x:v>1</x:v>
      </x:c>
      <x:c r="H46" s="29" t="n">
        <x:v>42</x:v>
      </x:c>
      <x:c r="I46" s="29" t="n">
        <x:v>42</x:v>
      </x:c>
      <x:c r="J46" s="29" t="n">
        <x:v>42</x:v>
      </x:c>
      <x:c r="K46" s="29" t="n">
        <x:v>42</x:v>
      </x:c>
      <x:c r="L46" s="34" t="n">
        <x:f>D46/H46</x:f>
        <x:v>0</x:v>
      </x:c>
      <x:c r="M46" s="34" t="n">
        <x:f>E46/I46</x:f>
        <x:v>0</x:v>
      </x:c>
      <x:c r="N46" s="34" t="n">
        <x:f>F46/J46</x:f>
        <x:v>0</x:v>
      </x:c>
      <x:c r="O46" s="34" t="n">
        <x:f>G46/K46</x:f>
        <x:v>0.023809523809523808</x:v>
      </x:c>
      <x:c r="P46" s="29" t="str">
        <x:v>(P1 LSD Total - P1 LSD Between - P1 LSD W2) + (P2 LSD Total - P2 LSD Between - P2 LSD W2)</x:v>
      </x:c>
      <x:c r="Q46" s="29" t="str">
        <x:v>(P1 Placebo Total - P1 Placebo Between - P1 Placebo W2) + (P2 Placebo Total - P2 Placebo Between - P2 Placebo W2)</x:v>
      </x:c>
      <x:c r="R46" s="29" t="str">
        <x:v>(P1 LSD Between + P1 LSD W2) + (P2 LSD Between + P2 LSD W2)</x:v>
      </x:c>
      <x:c r="S46" s="30" t="str">
        <x:v>(P1 Placebo Between + P1 Placebo W2) + (P2 Placebo Between + P2 Placebo W2)</x:v>
      </x:c>
    </x:row>
    <x:row r="47">
      <x:c r="A47" s="28" t="str">
        <x:v>Other</x:v>
      </x:c>
      <x:c r="B47" s="29" t="str">
        <x:v>Whiteness tooth dissection</x:v>
      </x:c>
      <x:c r="C47" s="29" t="n">
        <x:v>0</x:v>
      </x:c>
      <x:c r="D47" s="29" t="n">
        <x:f>Raw_table_S8!D47-Raw_table_S8!E47-Raw_table_S8!F47+Raw_table_S8!J47-Raw_table_S8!K47-Raw_table_S8!L47</x:f>
        <x:v>0</x:v>
      </x:c>
      <x:c r="E47" s="29" t="n">
        <x:f>Raw_table_S8!G47-Raw_table_S8!H47-Raw_table_S8!I47+Raw_table_S8!M47-Raw_table_S8!N47-Raw_table_S8!O47</x:f>
        <x:v>0</x:v>
      </x:c>
      <x:c r="F47" s="29" t="n">
        <x:f>Raw_table_S8!E47+Raw_table_S8!F47+Raw_table_S8!K47+Raw_table_S8!L47</x:f>
        <x:v>0</x:v>
      </x:c>
      <x:c r="G47" s="29" t="n">
        <x:f>Raw_table_S8!H47+Raw_table_S8!I47+Raw_table_S8!N47+Raw_table_S8!O47</x:f>
        <x:v>1</x:v>
      </x:c>
      <x:c r="H47" s="29" t="n">
        <x:v>42</x:v>
      </x:c>
      <x:c r="I47" s="29" t="n">
        <x:v>42</x:v>
      </x:c>
      <x:c r="J47" s="29" t="n">
        <x:v>42</x:v>
      </x:c>
      <x:c r="K47" s="29" t="n">
        <x:v>42</x:v>
      </x:c>
      <x:c r="L47" s="34" t="n">
        <x:f>D47/H47</x:f>
        <x:v>0</x:v>
      </x:c>
      <x:c r="M47" s="34" t="n">
        <x:f>E47/I47</x:f>
        <x:v>0</x:v>
      </x:c>
      <x:c r="N47" s="34" t="n">
        <x:f>F47/J47</x:f>
        <x:v>0</x:v>
      </x:c>
      <x:c r="O47" s="34" t="n">
        <x:f>G47/K47</x:f>
        <x:v>0.023809523809523808</x:v>
      </x:c>
      <x:c r="P47" s="29" t="str">
        <x:v>(P1 LSD Total - P1 LSD Between - P1 LSD W2) + (P2 LSD Total - P2 LSD Between - P2 LSD W2)</x:v>
      </x:c>
      <x:c r="Q47" s="29" t="str">
        <x:v>(P1 Placebo Total - P1 Placebo Between - P1 Placebo W2) + (P2 Placebo Total - P2 Placebo Between - P2 Placebo W2)</x:v>
      </x:c>
      <x:c r="R47" s="29" t="str">
        <x:v>(P1 LSD Between + P1 LSD W2) + (P2 LSD Between + P2 LSD W2)</x:v>
      </x:c>
      <x:c r="S47" s="30" t="str">
        <x:v>(P1 Placebo Between + P1 Placebo W2) + (P2 Placebo Between + P2 Placebo W2)</x:v>
      </x:c>
    </x:row>
    <x:row r="48">
      <x:c r="A48" s="28" t="str">
        <x:v>Other</x:v>
      </x:c>
      <x:c r="B48" s="29" t="str">
        <x:v>Fall</x:v>
      </x:c>
      <x:c r="C48" s="29" t="n">
        <x:v>0</x:v>
      </x:c>
      <x:c r="D48" s="29" t="n">
        <x:f>Raw_table_S8!D48-Raw_table_S8!E48-Raw_table_S8!F48+Raw_table_S8!J48-Raw_table_S8!K48-Raw_table_S8!L48</x:f>
        <x:v>1</x:v>
      </x:c>
      <x:c r="E48" s="29" t="n">
        <x:f>Raw_table_S8!G48-Raw_table_S8!H48-Raw_table_S8!I48+Raw_table_S8!M48-Raw_table_S8!N48-Raw_table_S8!O48</x:f>
        <x:v>0</x:v>
      </x:c>
      <x:c r="F48" s="29" t="n">
        <x:f>Raw_table_S8!E48+Raw_table_S8!F48+Raw_table_S8!K48+Raw_table_S8!L48</x:f>
        <x:v>0</x:v>
      </x:c>
      <x:c r="G48" s="29" t="n">
        <x:f>Raw_table_S8!H48+Raw_table_S8!I48+Raw_table_S8!N48+Raw_table_S8!O48</x:f>
        <x:v>0</x:v>
      </x:c>
      <x:c r="H48" s="29" t="n">
        <x:v>42</x:v>
      </x:c>
      <x:c r="I48" s="29" t="n">
        <x:v>42</x:v>
      </x:c>
      <x:c r="J48" s="29" t="n">
        <x:v>42</x:v>
      </x:c>
      <x:c r="K48" s="29" t="n">
        <x:v>42</x:v>
      </x:c>
      <x:c r="L48" s="34" t="n">
        <x:f>D48/H48</x:f>
        <x:v>0.023809523809523808</x:v>
      </x:c>
      <x:c r="M48" s="34" t="n">
        <x:f>E48/I48</x:f>
        <x:v>0</x:v>
      </x:c>
      <x:c r="N48" s="34" t="n">
        <x:f>F48/J48</x:f>
        <x:v>0</x:v>
      </x:c>
      <x:c r="O48" s="34" t="n">
        <x:f>G48/K48</x:f>
        <x:v>0</x:v>
      </x:c>
      <x:c r="P48" s="29" t="str">
        <x:v>(P1 LSD Total - P1 LSD Between - P1 LSD W2) + (P2 LSD Total - P2 LSD Between - P2 LSD W2)</x:v>
      </x:c>
      <x:c r="Q48" s="29" t="str">
        <x:v>(P1 Placebo Total - P1 Placebo Between - P1 Placebo W2) + (P2 Placebo Total - P2 Placebo Between - P2 Placebo W2)</x:v>
      </x:c>
      <x:c r="R48" s="29" t="str">
        <x:v>(P1 LSD Between + P1 LSD W2) + (P2 LSD Between + P2 LSD W2)</x:v>
      </x:c>
      <x:c r="S48" s="30" t="str">
        <x:v>(P1 Placebo Between + P1 Placebo W2) + (P2 Placebo Between + P2 Placebo W2)</x:v>
      </x:c>
    </x:row>
    <x:row r="49">
      <x:c r="A49" s="28" t="str">
        <x:v>Other</x:v>
      </x:c>
      <x:c r="B49" s="29" t="str">
        <x:v>Hypercholesterinemia</x:v>
      </x:c>
      <x:c r="C49" s="29" t="n">
        <x:v>0</x:v>
      </x:c>
      <x:c r="D49" s="29" t="n">
        <x:f>Raw_table_S8!D49-Raw_table_S8!E49-Raw_table_S8!F49+Raw_table_S8!J49-Raw_table_S8!K49-Raw_table_S8!L49</x:f>
        <x:v>0</x:v>
      </x:c>
      <x:c r="E49" s="29" t="n">
        <x:f>Raw_table_S8!G49-Raw_table_S8!H49-Raw_table_S8!I49+Raw_table_S8!M49-Raw_table_S8!N49-Raw_table_S8!O49</x:f>
        <x:v>1</x:v>
      </x:c>
      <x:c r="F49" s="29" t="n">
        <x:f>Raw_table_S8!E49+Raw_table_S8!F49+Raw_table_S8!K49+Raw_table_S8!L49</x:f>
        <x:v>0</x:v>
      </x:c>
      <x:c r="G49" s="29" t="n">
        <x:f>Raw_table_S8!H49+Raw_table_S8!I49+Raw_table_S8!N49+Raw_table_S8!O49</x:f>
        <x:v>0</x:v>
      </x:c>
      <x:c r="H49" s="29" t="n">
        <x:v>42</x:v>
      </x:c>
      <x:c r="I49" s="29" t="n">
        <x:v>42</x:v>
      </x:c>
      <x:c r="J49" s="29" t="n">
        <x:v>42</x:v>
      </x:c>
      <x:c r="K49" s="29" t="n">
        <x:v>42</x:v>
      </x:c>
      <x:c r="L49" s="34" t="n">
        <x:f>D49/H49</x:f>
        <x:v>0</x:v>
      </x:c>
      <x:c r="M49" s="34" t="n">
        <x:f>E49/I49</x:f>
        <x:v>0.023809523809523808</x:v>
      </x:c>
      <x:c r="N49" s="34" t="n">
        <x:f>F49/J49</x:f>
        <x:v>0</x:v>
      </x:c>
      <x:c r="O49" s="34" t="n">
        <x:f>G49/K49</x:f>
        <x:v>0</x:v>
      </x:c>
      <x:c r="P49" s="29" t="str">
        <x:v>(P1 LSD Total - P1 LSD Between - P1 LSD W2) + (P2 LSD Total - P2 LSD Between - P2 LSD W2)</x:v>
      </x:c>
      <x:c r="Q49" s="29" t="str">
        <x:v>(P1 Placebo Total - P1 Placebo Between - P1 Placebo W2) + (P2 Placebo Total - P2 Placebo Between - P2 Placebo W2)</x:v>
      </x:c>
      <x:c r="R49" s="29" t="str">
        <x:v>(P1 LSD Between + P1 LSD W2) + (P2 LSD Between + P2 LSD W2)</x:v>
      </x:c>
      <x:c r="S49" s="30" t="str">
        <x:v>(P1 Placebo Between + P1 Placebo W2) + (P2 Placebo Between + P2 Placebo W2)</x:v>
      </x:c>
    </x:row>
    <x:row r="50">
      <x:c r="A50" s="28" t="str">
        <x:v>Other</x:v>
      </x:c>
      <x:c r="B50" s="29" t="str">
        <x:v>Dog bite</x:v>
      </x:c>
      <x:c r="C50" s="29" t="n">
        <x:v>0</x:v>
      </x:c>
      <x:c r="D50" s="29" t="n">
        <x:f>Raw_table_S8!D50-Raw_table_S8!E50-Raw_table_S8!F50+Raw_table_S8!J50-Raw_table_S8!K50-Raw_table_S8!L50</x:f>
        <x:v>1</x:v>
      </x:c>
      <x:c r="E50" s="29" t="n">
        <x:f>Raw_table_S8!G50-Raw_table_S8!H50-Raw_table_S8!I50+Raw_table_S8!M50-Raw_table_S8!N50-Raw_table_S8!O50</x:f>
        <x:v>0</x:v>
      </x:c>
      <x:c r="F50" s="29" t="n">
        <x:f>Raw_table_S8!E50+Raw_table_S8!F50+Raw_table_S8!K50+Raw_table_S8!L50</x:f>
        <x:v>0</x:v>
      </x:c>
      <x:c r="G50" s="29" t="n">
        <x:f>Raw_table_S8!H50+Raw_table_S8!I50+Raw_table_S8!N50+Raw_table_S8!O50</x:f>
        <x:v>0</x:v>
      </x:c>
      <x:c r="H50" s="29" t="n">
        <x:v>42</x:v>
      </x:c>
      <x:c r="I50" s="29" t="n">
        <x:v>42</x:v>
      </x:c>
      <x:c r="J50" s="29" t="n">
        <x:v>42</x:v>
      </x:c>
      <x:c r="K50" s="29" t="n">
        <x:v>42</x:v>
      </x:c>
      <x:c r="L50" s="34" t="n">
        <x:f>D50/H50</x:f>
        <x:v>0.023809523809523808</x:v>
      </x:c>
      <x:c r="M50" s="34" t="n">
        <x:f>E50/I50</x:f>
        <x:v>0</x:v>
      </x:c>
      <x:c r="N50" s="34" t="n">
        <x:f>F50/J50</x:f>
        <x:v>0</x:v>
      </x:c>
      <x:c r="O50" s="34" t="n">
        <x:f>G50/K50</x:f>
        <x:v>0</x:v>
      </x:c>
      <x:c r="P50" s="29" t="str">
        <x:v>(P1 LSD Total - P1 LSD Between - P1 LSD W2) + (P2 LSD Total - P2 LSD Between - P2 LSD W2)</x:v>
      </x:c>
      <x:c r="Q50" s="29" t="str">
        <x:v>(P1 Placebo Total - P1 Placebo Between - P1 Placebo W2) + (P2 Placebo Total - P2 Placebo Between - P2 Placebo W2)</x:v>
      </x:c>
      <x:c r="R50" s="29" t="str">
        <x:v>(P1 LSD Between + P1 LSD W2) + (P2 LSD Between + P2 LSD W2)</x:v>
      </x:c>
      <x:c r="S50" s="30" t="str">
        <x:v>(P1 Placebo Between + P1 Placebo W2) + (P2 Placebo Between + P2 Placebo W2)</x:v>
      </x:c>
    </x:row>
    <x:row r="51">
      <x:c r="A51" s="28" t="str">
        <x:v>Other</x:v>
      </x:c>
      <x:c r="B51" s="29" t="str">
        <x:v>Norovirus</x:v>
      </x:c>
      <x:c r="C51" s="29" t="n">
        <x:v>0</x:v>
      </x:c>
      <x:c r="D51" s="29" t="n">
        <x:f>Raw_table_S8!D51-Raw_table_S8!E51-Raw_table_S8!F51+Raw_table_S8!J51-Raw_table_S8!K51-Raw_table_S8!L51</x:f>
        <x:v>0</x:v>
      </x:c>
      <x:c r="E51" s="29" t="n">
        <x:f>Raw_table_S8!G51-Raw_table_S8!H51-Raw_table_S8!I51+Raw_table_S8!M51-Raw_table_S8!N51-Raw_table_S8!O51</x:f>
        <x:v>1</x:v>
      </x:c>
      <x:c r="F51" s="29" t="n">
        <x:f>Raw_table_S8!E51+Raw_table_S8!F51+Raw_table_S8!K51+Raw_table_S8!L51</x:f>
        <x:v>0</x:v>
      </x:c>
      <x:c r="G51" s="29" t="n">
        <x:f>Raw_table_S8!H51+Raw_table_S8!I51+Raw_table_S8!N51+Raw_table_S8!O51</x:f>
        <x:v>0</x:v>
      </x:c>
      <x:c r="H51" s="29" t="n">
        <x:v>42</x:v>
      </x:c>
      <x:c r="I51" s="29" t="n">
        <x:v>42</x:v>
      </x:c>
      <x:c r="J51" s="29" t="n">
        <x:v>42</x:v>
      </x:c>
      <x:c r="K51" s="29" t="n">
        <x:v>42</x:v>
      </x:c>
      <x:c r="L51" s="34" t="n">
        <x:f>D51/H51</x:f>
        <x:v>0</x:v>
      </x:c>
      <x:c r="M51" s="34" t="n">
        <x:f>E51/I51</x:f>
        <x:v>0.023809523809523808</x:v>
      </x:c>
      <x:c r="N51" s="34" t="n">
        <x:f>F51/J51</x:f>
        <x:v>0</x:v>
      </x:c>
      <x:c r="O51" s="34" t="n">
        <x:f>G51/K51</x:f>
        <x:v>0</x:v>
      </x:c>
      <x:c r="P51" s="29" t="str">
        <x:v>(P1 LSD Total - P1 LSD Between - P1 LSD W2) + (P2 LSD Total - P2 LSD Between - P2 LSD W2)</x:v>
      </x:c>
      <x:c r="Q51" s="29" t="str">
        <x:v>(P1 Placebo Total - P1 Placebo Between - P1 Placebo W2) + (P2 Placebo Total - P2 Placebo Between - P2 Placebo W2)</x:v>
      </x:c>
      <x:c r="R51" s="29" t="str">
        <x:v>(P1 LSD Between + P1 LSD W2) + (P2 LSD Between + P2 LSD W2)</x:v>
      </x:c>
      <x:c r="S51" s="30" t="str">
        <x:v>(P1 Placebo Between + P1 Placebo W2) + (P2 Placebo Between + P2 Placebo W2)</x:v>
      </x:c>
    </x:row>
    <x:row r="52">
      <x:c r="A52" s="28" t="str">
        <x:v>Other</x:v>
      </x:c>
      <x:c r="B52" s="29" t="str">
        <x:v>Swollen hand</x:v>
      </x:c>
      <x:c r="C52" s="29" t="n">
        <x:v>0</x:v>
      </x:c>
      <x:c r="D52" s="29" t="n">
        <x:f>Raw_table_S8!D52-Raw_table_S8!E52-Raw_table_S8!F52+Raw_table_S8!J52-Raw_table_S8!K52-Raw_table_S8!L52</x:f>
        <x:v>0</x:v>
      </x:c>
      <x:c r="E52" s="29" t="n">
        <x:f>Raw_table_S8!G52-Raw_table_S8!H52-Raw_table_S8!I52+Raw_table_S8!M52-Raw_table_S8!N52-Raw_table_S8!O52</x:f>
        <x:v>1</x:v>
      </x:c>
      <x:c r="F52" s="29" t="n">
        <x:f>Raw_table_S8!E52+Raw_table_S8!F52+Raw_table_S8!K52+Raw_table_S8!L52</x:f>
        <x:v>0</x:v>
      </x:c>
      <x:c r="G52" s="29" t="n">
        <x:f>Raw_table_S8!H52+Raw_table_S8!I52+Raw_table_S8!N52+Raw_table_S8!O52</x:f>
        <x:v>0</x:v>
      </x:c>
      <x:c r="H52" s="29" t="n">
        <x:v>42</x:v>
      </x:c>
      <x:c r="I52" s="29" t="n">
        <x:v>42</x:v>
      </x:c>
      <x:c r="J52" s="29" t="n">
        <x:v>42</x:v>
      </x:c>
      <x:c r="K52" s="29" t="n">
        <x:v>42</x:v>
      </x:c>
      <x:c r="L52" s="34" t="n">
        <x:f>D52/H52</x:f>
        <x:v>0</x:v>
      </x:c>
      <x:c r="M52" s="34" t="n">
        <x:f>E52/I52</x:f>
        <x:v>0.023809523809523808</x:v>
      </x:c>
      <x:c r="N52" s="34" t="n">
        <x:f>F52/J52</x:f>
        <x:v>0</x:v>
      </x:c>
      <x:c r="O52" s="34" t="n">
        <x:f>G52/K52</x:f>
        <x:v>0</x:v>
      </x:c>
      <x:c r="P52" s="29" t="str">
        <x:v>(P1 LSD Total - P1 LSD Between - P1 LSD W2) + (P2 LSD Total - P2 LSD Between - P2 LSD W2)</x:v>
      </x:c>
      <x:c r="Q52" s="29" t="str">
        <x:v>(P1 Placebo Total - P1 Placebo Between - P1 Placebo W2) + (P2 Placebo Total - P2 Placebo Between - P2 Placebo W2)</x:v>
      </x:c>
      <x:c r="R52" s="29" t="str">
        <x:v>(P1 LSD Between + P1 LSD W2) + (P2 LSD Between + P2 LSD W2)</x:v>
      </x:c>
      <x:c r="S52" s="30" t="str">
        <x:v>(P1 Placebo Between + P1 Placebo W2) + (P2 Placebo Between + P2 Placebo W2)</x:v>
      </x:c>
    </x:row>
    <x:row r="53">
      <x:c r="A53" s="28" t="str">
        <x:v>Other</x:v>
      </x:c>
      <x:c r="B53" s="29" t="str">
        <x:v>Asthma bronchiale</x:v>
      </x:c>
      <x:c r="C53" s="29" t="n">
        <x:v>0</x:v>
      </x:c>
      <x:c r="D53" s="29" t="n">
        <x:f>Raw_table_S8!D53-Raw_table_S8!E53-Raw_table_S8!F53+Raw_table_S8!J53-Raw_table_S8!K53-Raw_table_S8!L53</x:f>
        <x:v>0</x:v>
      </x:c>
      <x:c r="E53" s="29" t="n">
        <x:f>Raw_table_S8!G53-Raw_table_S8!H53-Raw_table_S8!I53+Raw_table_S8!M53-Raw_table_S8!N53-Raw_table_S8!O53</x:f>
        <x:v>1</x:v>
      </x:c>
      <x:c r="F53" s="29" t="n">
        <x:f>Raw_table_S8!E53+Raw_table_S8!F53+Raw_table_S8!K53+Raw_table_S8!L53</x:f>
        <x:v>0</x:v>
      </x:c>
      <x:c r="G53" s="29" t="n">
        <x:f>Raw_table_S8!H53+Raw_table_S8!I53+Raw_table_S8!N53+Raw_table_S8!O53</x:f>
        <x:v>0</x:v>
      </x:c>
      <x:c r="H53" s="29" t="n">
        <x:v>42</x:v>
      </x:c>
      <x:c r="I53" s="29" t="n">
        <x:v>42</x:v>
      </x:c>
      <x:c r="J53" s="29" t="n">
        <x:v>42</x:v>
      </x:c>
      <x:c r="K53" s="29" t="n">
        <x:v>42</x:v>
      </x:c>
      <x:c r="L53" s="34" t="n">
        <x:f>D53/H53</x:f>
        <x:v>0</x:v>
      </x:c>
      <x:c r="M53" s="34" t="n">
        <x:f>E53/I53</x:f>
        <x:v>0.023809523809523808</x:v>
      </x:c>
      <x:c r="N53" s="34" t="n">
        <x:f>F53/J53</x:f>
        <x:v>0</x:v>
      </x:c>
      <x:c r="O53" s="34" t="n">
        <x:f>G53/K53</x:f>
        <x:v>0</x:v>
      </x:c>
      <x:c r="P53" s="29" t="str">
        <x:v>(P1 LSD Total - P1 LSD Between - P1 LSD W2) + (P2 LSD Total - P2 LSD Between - P2 LSD W2)</x:v>
      </x:c>
      <x:c r="Q53" s="29" t="str">
        <x:v>(P1 Placebo Total - P1 Placebo Between - P1 Placebo W2) + (P2 Placebo Total - P2 Placebo Between - P2 Placebo W2)</x:v>
      </x:c>
      <x:c r="R53" s="29" t="str">
        <x:v>(P1 LSD Between + P1 LSD W2) + (P2 LSD Between + P2 LSD W2)</x:v>
      </x:c>
      <x:c r="S53" s="30" t="str">
        <x:v>(P1 Placebo Between + P1 Placebo W2) + (P2 Placebo Between + P2 Placebo W2)</x:v>
      </x:c>
    </x:row>
    <x:row r="54">
      <x:c r="A54" s="28" t="str">
        <x:v>Other</x:v>
      </x:c>
      <x:c r="B54" s="29" t="str">
        <x:v>Vitamin B12 deficiency</x:v>
      </x:c>
      <x:c r="C54" s="29" t="n">
        <x:v>0</x:v>
      </x:c>
      <x:c r="D54" s="29" t="n">
        <x:f>Raw_table_S8!D54-Raw_table_S8!E54-Raw_table_S8!F54+Raw_table_S8!J54-Raw_table_S8!K54-Raw_table_S8!L54</x:f>
        <x:v>1</x:v>
      </x:c>
      <x:c r="E54" s="29" t="n">
        <x:f>Raw_table_S8!G54-Raw_table_S8!H54-Raw_table_S8!I54+Raw_table_S8!M54-Raw_table_S8!N54-Raw_table_S8!O54</x:f>
        <x:v>0</x:v>
      </x:c>
      <x:c r="F54" s="29" t="n">
        <x:f>Raw_table_S8!E54+Raw_table_S8!F54+Raw_table_S8!K54+Raw_table_S8!L54</x:f>
        <x:v>0</x:v>
      </x:c>
      <x:c r="G54" s="29" t="n">
        <x:f>Raw_table_S8!H54+Raw_table_S8!I54+Raw_table_S8!N54+Raw_table_S8!O54</x:f>
        <x:v>0</x:v>
      </x:c>
      <x:c r="H54" s="29" t="n">
        <x:v>42</x:v>
      </x:c>
      <x:c r="I54" s="29" t="n">
        <x:v>42</x:v>
      </x:c>
      <x:c r="J54" s="29" t="n">
        <x:v>42</x:v>
      </x:c>
      <x:c r="K54" s="29" t="n">
        <x:v>42</x:v>
      </x:c>
      <x:c r="L54" s="34" t="n">
        <x:f>D54/H54</x:f>
        <x:v>0.023809523809523808</x:v>
      </x:c>
      <x:c r="M54" s="34" t="n">
        <x:f>E54/I54</x:f>
        <x:v>0</x:v>
      </x:c>
      <x:c r="N54" s="34" t="n">
        <x:f>F54/J54</x:f>
        <x:v>0</x:v>
      </x:c>
      <x:c r="O54" s="34" t="n">
        <x:f>G54/K54</x:f>
        <x:v>0</x:v>
      </x:c>
      <x:c r="P54" s="29" t="str">
        <x:v>(P1 LSD Total - P1 LSD Between - P1 LSD W2) + (P2 LSD Total - P2 LSD Between - P2 LSD W2)</x:v>
      </x:c>
      <x:c r="Q54" s="29" t="str">
        <x:v>(P1 Placebo Total - P1 Placebo Between - P1 Placebo W2) + (P2 Placebo Total - P2 Placebo Between - P2 Placebo W2)</x:v>
      </x:c>
      <x:c r="R54" s="29" t="str">
        <x:v>(P1 LSD Between + P1 LSD W2) + (P2 LSD Between + P2 LSD W2)</x:v>
      </x:c>
      <x:c r="S54" s="30" t="str">
        <x:v>(P1 Placebo Between + P1 Placebo W2) + (P2 Placebo Between + P2 Placebo W2)</x:v>
      </x:c>
    </x:row>
    <x:row r="55">
      <x:c r="A55" s="28" t="str">
        <x:v>Other</x:v>
      </x:c>
      <x:c r="B55" s="29" t="str">
        <x:v>Sore throat</x:v>
      </x:c>
      <x:c r="C55" s="29" t="n">
        <x:v>0</x:v>
      </x:c>
      <x:c r="D55" s="29" t="n">
        <x:f>Raw_table_S8!D55-Raw_table_S8!E55-Raw_table_S8!F55+Raw_table_S8!J55-Raw_table_S8!K55-Raw_table_S8!L55</x:f>
        <x:v>1</x:v>
      </x:c>
      <x:c r="E55" s="29" t="n">
        <x:f>Raw_table_S8!G55-Raw_table_S8!H55-Raw_table_S8!I55+Raw_table_S8!M55-Raw_table_S8!N55-Raw_table_S8!O55</x:f>
        <x:v>0</x:v>
      </x:c>
      <x:c r="F55" s="29" t="n">
        <x:f>Raw_table_S8!E55+Raw_table_S8!F55+Raw_table_S8!K55+Raw_table_S8!L55</x:f>
        <x:v>0</x:v>
      </x:c>
      <x:c r="G55" s="29" t="n">
        <x:f>Raw_table_S8!H55+Raw_table_S8!I55+Raw_table_S8!N55+Raw_table_S8!O55</x:f>
        <x:v>0</x:v>
      </x:c>
      <x:c r="H55" s="29" t="n">
        <x:v>42</x:v>
      </x:c>
      <x:c r="I55" s="29" t="n">
        <x:v>42</x:v>
      </x:c>
      <x:c r="J55" s="29" t="n">
        <x:v>42</x:v>
      </x:c>
      <x:c r="K55" s="29" t="n">
        <x:v>42</x:v>
      </x:c>
      <x:c r="L55" s="34" t="n">
        <x:f>D55/H55</x:f>
        <x:v>0.023809523809523808</x:v>
      </x:c>
      <x:c r="M55" s="34" t="n">
        <x:f>E55/I55</x:f>
        <x:v>0</x:v>
      </x:c>
      <x:c r="N55" s="34" t="n">
        <x:f>F55/J55</x:f>
        <x:v>0</x:v>
      </x:c>
      <x:c r="O55" s="34" t="n">
        <x:f>G55/K55</x:f>
        <x:v>0</x:v>
      </x:c>
      <x:c r="P55" s="29" t="str">
        <x:v>(P1 LSD Total - P1 LSD Between - P1 LSD W2) + (P2 LSD Total - P2 LSD Between - P2 LSD W2)</x:v>
      </x:c>
      <x:c r="Q55" s="29" t="str">
        <x:v>(P1 Placebo Total - P1 Placebo Between - P1 Placebo W2) + (P2 Placebo Total - P2 Placebo Between - P2 Placebo W2)</x:v>
      </x:c>
      <x:c r="R55" s="29" t="str">
        <x:v>(P1 LSD Between + P1 LSD W2) + (P2 LSD Between + P2 LSD W2)</x:v>
      </x:c>
      <x:c r="S55" s="30" t="str">
        <x:v>(P1 Placebo Between + P1 Placebo W2) + (P2 Placebo Between + P2 Placebo W2)</x:v>
      </x:c>
    </x:row>
    <x:row r="56">
      <x:c r="A56" s="28" t="str">
        <x:v>Other</x:v>
      </x:c>
      <x:c r="B56" s="29" t="str">
        <x:v>Muscular complaints (thorax)</x:v>
      </x:c>
      <x:c r="C56" s="29" t="n">
        <x:v>0</x:v>
      </x:c>
      <x:c r="D56" s="29" t="n">
        <x:f>Raw_table_S8!D56-Raw_table_S8!E56-Raw_table_S8!F56+Raw_table_S8!J56-Raw_table_S8!K56-Raw_table_S8!L56</x:f>
        <x:v>0</x:v>
      </x:c>
      <x:c r="E56" s="29" t="n">
        <x:f>Raw_table_S8!G56-Raw_table_S8!H56-Raw_table_S8!I56+Raw_table_S8!M56-Raw_table_S8!N56-Raw_table_S8!O56</x:f>
        <x:v>1</x:v>
      </x:c>
      <x:c r="F56" s="29" t="n">
        <x:f>Raw_table_S8!E56+Raw_table_S8!F56+Raw_table_S8!K56+Raw_table_S8!L56</x:f>
        <x:v>0</x:v>
      </x:c>
      <x:c r="G56" s="29" t="n">
        <x:f>Raw_table_S8!H56+Raw_table_S8!I56+Raw_table_S8!N56+Raw_table_S8!O56</x:f>
        <x:v>0</x:v>
      </x:c>
      <x:c r="H56" s="29" t="n">
        <x:v>42</x:v>
      </x:c>
      <x:c r="I56" s="29" t="n">
        <x:v>42</x:v>
      </x:c>
      <x:c r="J56" s="29" t="n">
        <x:v>42</x:v>
      </x:c>
      <x:c r="K56" s="29" t="n">
        <x:v>42</x:v>
      </x:c>
      <x:c r="L56" s="34" t="n">
        <x:f>D56/H56</x:f>
        <x:v>0</x:v>
      </x:c>
      <x:c r="M56" s="34" t="n">
        <x:f>E56/I56</x:f>
        <x:v>0.023809523809523808</x:v>
      </x:c>
      <x:c r="N56" s="34" t="n">
        <x:f>F56/J56</x:f>
        <x:v>0</x:v>
      </x:c>
      <x:c r="O56" s="34" t="n">
        <x:f>G56/K56</x:f>
        <x:v>0</x:v>
      </x:c>
      <x:c r="P56" s="29" t="str">
        <x:v>(P1 LSD Total - P1 LSD Between - P1 LSD W2) + (P2 LSD Total - P2 LSD Between - P2 LSD W2)</x:v>
      </x:c>
      <x:c r="Q56" s="29" t="str">
        <x:v>(P1 Placebo Total - P1 Placebo Between - P1 Placebo W2) + (P2 Placebo Total - P2 Placebo Between - P2 Placebo W2)</x:v>
      </x:c>
      <x:c r="R56" s="29" t="str">
        <x:v>(P1 LSD Between + P1 LSD W2) + (P2 LSD Between + P2 LSD W2)</x:v>
      </x:c>
      <x:c r="S56" s="30" t="str">
        <x:v>(P1 Placebo Between + P1 Placebo W2) + (P2 Placebo Between + P2 Placebo W2)</x:v>
      </x:c>
    </x:row>
    <x:row r="57">
      <x:c r="A57" s="31" t="str">
        <x:v>Other</x:v>
      </x:c>
      <x:c r="B57" s="32" t="str">
        <x:v>Loss of appetite</x:v>
      </x:c>
      <x:c r="C57" s="32" t="n">
        <x:v>0</x:v>
      </x:c>
      <x:c r="D57" s="32" t="n">
        <x:f>Raw_table_S8!D57-Raw_table_S8!E57-Raw_table_S8!F57+Raw_table_S8!J57-Raw_table_S8!K57-Raw_table_S8!L57</x:f>
        <x:v>0</x:v>
      </x:c>
      <x:c r="E57" s="32" t="n">
        <x:f>Raw_table_S8!G57-Raw_table_S8!H57-Raw_table_S8!I57+Raw_table_S8!M57-Raw_table_S8!N57-Raw_table_S8!O57</x:f>
        <x:v>0</x:v>
      </x:c>
      <x:c r="F57" s="32" t="n">
        <x:f>Raw_table_S8!E57+Raw_table_S8!F57+Raw_table_S8!K57+Raw_table_S8!L57</x:f>
        <x:v>0</x:v>
      </x:c>
      <x:c r="G57" s="32" t="n">
        <x:f>Raw_table_S8!H57+Raw_table_S8!I57+Raw_table_S8!N57+Raw_table_S8!O57</x:f>
        <x:v>1</x:v>
      </x:c>
      <x:c r="H57" s="32" t="n">
        <x:v>42</x:v>
      </x:c>
      <x:c r="I57" s="32" t="n">
        <x:v>42</x:v>
      </x:c>
      <x:c r="J57" s="32" t="n">
        <x:v>42</x:v>
      </x:c>
      <x:c r="K57" s="32" t="n">
        <x:v>42</x:v>
      </x:c>
      <x:c r="L57" s="35" t="n">
        <x:f>D57/H57</x:f>
        <x:v>0</x:v>
      </x:c>
      <x:c r="M57" s="35" t="n">
        <x:f>E57/I57</x:f>
        <x:v>0</x:v>
      </x:c>
      <x:c r="N57" s="35" t="n">
        <x:f>F57/J57</x:f>
        <x:v>0</x:v>
      </x:c>
      <x:c r="O57" s="35" t="n">
        <x:f>G57/K57</x:f>
        <x:v>0.023809523809523808</x:v>
      </x:c>
      <x:c r="P57" s="32" t="str">
        <x:v>(P1 LSD Total - P1 LSD Between - P1 LSD W2) + (P2 LSD Total - P2 LSD Between - P2 LSD W2)</x:v>
      </x:c>
      <x:c r="Q57" s="32" t="str">
        <x:v>(P1 Placebo Total - P1 Placebo Between - P1 Placebo W2) + (P2 Placebo Total - P2 Placebo Between - P2 Placebo W2)</x:v>
      </x:c>
      <x:c r="R57" s="32" t="str">
        <x:v>(P1 LSD Between + P1 LSD W2) + (P2 LSD Between + P2 LSD W2)</x:v>
      </x:c>
      <x:c r="S57" s="33" t="str">
        <x:v>(P1 Placebo Between + P1 Placebo W2) + (P2 Placebo Between + P2 Placebo W2)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7.91000366210938" hidden="0" customWidth="1"/>
    <x:col min="2" max="2" width="10.180000305175781" hidden="0" customWidth="1"/>
    <x:col min="3" max="3" width="12.149999618530273" hidden="0" customWidth="1"/>
    <x:col min="4" max="4" width="7.730000019073486" hidden="0" customWidth="1"/>
    <x:col min="5" max="5" width="16.440000534057617" hidden="0" customWidth="1"/>
    <x:col min="6" max="6" width="33.130001068115234" hidden="0" customWidth="1"/>
    <x:col min="7" max="7" width="11.289999961853027" hidden="0" customWidth="1"/>
    <x:col min="8" max="8" width="10.430000305175781" hidden="0" customWidth="1"/>
    <x:col min="9" max="9" width="7.730000019073486" hidden="0" customWidth="1"/>
    <x:col min="10" max="10" width="13.869999885559082" hidden="0" customWidth="1"/>
  </x:cols>
  <x:sheetData>
    <x:row r="1">
      <x:c r="A1" s="4" t="str">
        <x:v>Holze 2023 rows formatted like data/Adverse-events-dose-v5.xlsx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t="str">
        <x:v>Columns copied from first row/header of data v5. events = absolute_events / n_participants_arm.</x:v>
      </x:c>
    </x:row>
    <x:row r="3">
      <x:c r="A3" s="19" t="str">
        <x:v>study_id</x:v>
      </x:c>
      <x:c r="B3" s="20" t="str">
        <x:v>author_year</x:v>
      </x:c>
      <x:c r="C3" s="20" t="str">
        <x:v>arm_id</x:v>
      </x:c>
      <x:c r="D3" s="20" t="str">
        <x:v>molecule</x:v>
      </x:c>
      <x:c r="E3" s="20" t="str">
        <x:v>n_participants_arm</x:v>
      </x:c>
      <x:c r="F3" s="20" t="str">
        <x:v>ae_term</x:v>
      </x:c>
      <x:c r="G3" s="20" t="str">
        <x:v>time_window</x:v>
      </x:c>
      <x:c r="H3" s="20" t="str">
        <x:v>events</x:v>
      </x:c>
      <x:c r="I3" s="20" t="str">
        <x:v>dose_mg</x:v>
      </x:c>
      <x:c r="J3" s="21" t="str">
        <x:v>absolute_events</x:v>
      </x:c>
    </x:row>
    <x:row r="4">
      <x:c r="A4" s="28" t="str">
        <x:v>Holze2023</x:v>
      </x:c>
      <x:c r="B4" s="29" t="str">
        <x:v>Holze 2023</x:v>
      </x:c>
      <x:c r="C4" s="29" t="str">
        <x:v>lsd_200ug</x:v>
      </x:c>
      <x:c r="D4" s="29" t="str">
        <x:v>LSD</x:v>
      </x:c>
      <x:c r="E4" s="29" t="n">
        <x:v>42</x:v>
      </x:c>
      <x:c r="F4" s="29" t="str">
        <x:v>Insomnia</x:v>
      </x:c>
      <x:c r="G4" s="29" t="str">
        <x:v>session</x:v>
      </x:c>
      <x:c r="H4" s="34" t="n">
        <x:v>0.07142857142857142</x:v>
      </x:c>
      <x:c r="I4" s="29" t="n">
        <x:v>200</x:v>
      </x:c>
      <x:c r="J4" s="36" t="n">
        <x:v>3</x:v>
      </x:c>
    </x:row>
    <x:row r="5">
      <x:c r="A5" s="28" t="str">
        <x:v>Holze2023</x:v>
      </x:c>
      <x:c r="B5" s="29" t="str">
        <x:v>Holze 2023</x:v>
      </x:c>
      <x:c r="C5" s="29" t="str">
        <x:v>placebo_inactif</x:v>
      </x:c>
      <x:c r="D5" s="29" t="str">
        <x:v>LSD</x:v>
      </x:c>
      <x:c r="E5" s="29" t="n">
        <x:v>42</x:v>
      </x:c>
      <x:c r="F5" s="29" t="str">
        <x:v>Insomnia</x:v>
      </x:c>
      <x:c r="G5" s="29" t="str">
        <x:v>session</x:v>
      </x:c>
      <x:c r="H5" s="34" t="n">
        <x:v>0.07142857142857142</x:v>
      </x:c>
      <x:c r="I5" s="29" t="n">
        <x:v>0</x:v>
      </x:c>
      <x:c r="J5" s="36" t="n">
        <x:v>3</x:v>
      </x:c>
    </x:row>
    <x:row r="6">
      <x:c r="A6" s="28" t="str">
        <x:v>Holze2023</x:v>
      </x:c>
      <x:c r="B6" s="29" t="str">
        <x:v>Holze 2023</x:v>
      </x:c>
      <x:c r="C6" s="29" t="str">
        <x:v>lsd_200ug</x:v>
      </x:c>
      <x:c r="D6" s="29" t="str">
        <x:v>LSD</x:v>
      </x:c>
      <x:c r="E6" s="29" t="n">
        <x:v>42</x:v>
      </x:c>
      <x:c r="F6" s="29" t="str">
        <x:v>Insomnia</x:v>
      </x:c>
      <x:c r="G6" s="29" t="str">
        <x:v>follow_up</x:v>
      </x:c>
      <x:c r="H6" s="34" t="n">
        <x:v>0</x:v>
      </x:c>
      <x:c r="I6" s="29" t="n">
        <x:v>200</x:v>
      </x:c>
      <x:c r="J6" s="36" t="n">
        <x:v>0</x:v>
      </x:c>
    </x:row>
    <x:row r="7">
      <x:c r="A7" s="28" t="str">
        <x:v>Holze2023</x:v>
      </x:c>
      <x:c r="B7" s="29" t="str">
        <x:v>Holze 2023</x:v>
      </x:c>
      <x:c r="C7" s="29" t="str">
        <x:v>placebo_inactif</x:v>
      </x:c>
      <x:c r="D7" s="29" t="str">
        <x:v>LSD</x:v>
      </x:c>
      <x:c r="E7" s="29" t="n">
        <x:v>42</x:v>
      </x:c>
      <x:c r="F7" s="29" t="str">
        <x:v>Insomnia</x:v>
      </x:c>
      <x:c r="G7" s="29" t="str">
        <x:v>follow_up</x:v>
      </x:c>
      <x:c r="H7" s="34" t="n">
        <x:v>0.023809523809523808</x:v>
      </x:c>
      <x:c r="I7" s="29" t="n">
        <x:v>0</x:v>
      </x:c>
      <x:c r="J7" s="36" t="n">
        <x:v>1</x:v>
      </x:c>
    </x:row>
    <x:row r="8">
      <x:c r="A8" s="28" t="str">
        <x:v>Holze2023</x:v>
      </x:c>
      <x:c r="B8" s="29" t="str">
        <x:v>Holze 2023</x:v>
      </x:c>
      <x:c r="C8" s="29" t="str">
        <x:v>lsd_200ug</x:v>
      </x:c>
      <x:c r="D8" s="29" t="str">
        <x:v>LSD</x:v>
      </x:c>
      <x:c r="E8" s="29" t="n">
        <x:v>42</x:v>
      </x:c>
      <x:c r="F8" s="29" t="str">
        <x:v>Depression</x:v>
      </x:c>
      <x:c r="G8" s="29" t="str">
        <x:v>session</x:v>
      </x:c>
      <x:c r="H8" s="34" t="n">
        <x:v>0.047619047619047616</x:v>
      </x:c>
      <x:c r="I8" s="29" t="n">
        <x:v>200</x:v>
      </x:c>
      <x:c r="J8" s="36" t="n">
        <x:v>2</x:v>
      </x:c>
    </x:row>
    <x:row r="9">
      <x:c r="A9" s="28" t="str">
        <x:v>Holze2023</x:v>
      </x:c>
      <x:c r="B9" s="29" t="str">
        <x:v>Holze 2023</x:v>
      </x:c>
      <x:c r="C9" s="29" t="str">
        <x:v>placebo_inactif</x:v>
      </x:c>
      <x:c r="D9" s="29" t="str">
        <x:v>LSD</x:v>
      </x:c>
      <x:c r="E9" s="29" t="n">
        <x:v>42</x:v>
      </x:c>
      <x:c r="F9" s="29" t="str">
        <x:v>Depression</x:v>
      </x:c>
      <x:c r="G9" s="29" t="str">
        <x:v>session</x:v>
      </x:c>
      <x:c r="H9" s="34" t="n">
        <x:v>0.023809523809523808</x:v>
      </x:c>
      <x:c r="I9" s="29" t="n">
        <x:v>0</x:v>
      </x:c>
      <x:c r="J9" s="36" t="n">
        <x:v>1</x:v>
      </x:c>
    </x:row>
    <x:row r="10">
      <x:c r="A10" s="28" t="str">
        <x:v>Holze2023</x:v>
      </x:c>
      <x:c r="B10" s="29" t="str">
        <x:v>Holze 2023</x:v>
      </x:c>
      <x:c r="C10" s="29" t="str">
        <x:v>lsd_200ug</x:v>
      </x:c>
      <x:c r="D10" s="29" t="str">
        <x:v>LSD</x:v>
      </x:c>
      <x:c r="E10" s="29" t="n">
        <x:v>42</x:v>
      </x:c>
      <x:c r="F10" s="29" t="str">
        <x:v>Depression</x:v>
      </x:c>
      <x:c r="G10" s="29" t="str">
        <x:v>follow_up</x:v>
      </x:c>
      <x:c r="H10" s="34" t="n">
        <x:v>0</x:v>
      </x:c>
      <x:c r="I10" s="29" t="n">
        <x:v>200</x:v>
      </x:c>
      <x:c r="J10" s="36" t="n">
        <x:v>0</x:v>
      </x:c>
    </x:row>
    <x:row r="11">
      <x:c r="A11" s="28" t="str">
        <x:v>Holze2023</x:v>
      </x:c>
      <x:c r="B11" s="29" t="str">
        <x:v>Holze 2023</x:v>
      </x:c>
      <x:c r="C11" s="29" t="str">
        <x:v>placebo_inactif</x:v>
      </x:c>
      <x:c r="D11" s="29" t="str">
        <x:v>LSD</x:v>
      </x:c>
      <x:c r="E11" s="29" t="n">
        <x:v>42</x:v>
      </x:c>
      <x:c r="F11" s="29" t="str">
        <x:v>Depression</x:v>
      </x:c>
      <x:c r="G11" s="29" t="str">
        <x:v>follow_up</x:v>
      </x:c>
      <x:c r="H11" s="34" t="n">
        <x:v>0</x:v>
      </x:c>
      <x:c r="I11" s="29" t="n">
        <x:v>0</x:v>
      </x:c>
      <x:c r="J11" s="36" t="n">
        <x:v>0</x:v>
      </x:c>
    </x:row>
    <x:row r="12">
      <x:c r="A12" s="28" t="str">
        <x:v>Holze2023</x:v>
      </x:c>
      <x:c r="B12" s="29" t="str">
        <x:v>Holze 2023</x:v>
      </x:c>
      <x:c r="C12" s="29" t="str">
        <x:v>lsd_200ug</x:v>
      </x:c>
      <x:c r="D12" s="29" t="str">
        <x:v>LSD</x:v>
      </x:c>
      <x:c r="E12" s="29" t="n">
        <x:v>42</x:v>
      </x:c>
      <x:c r="F12" s="29" t="str">
        <x:v>Anxiety attack</x:v>
      </x:c>
      <x:c r="G12" s="29" t="str">
        <x:v>session</x:v>
      </x:c>
      <x:c r="H12" s="34" t="n">
        <x:v>0.047619047619047616</x:v>
      </x:c>
      <x:c r="I12" s="29" t="n">
        <x:v>200</x:v>
      </x:c>
      <x:c r="J12" s="36" t="n">
        <x:v>2</x:v>
      </x:c>
    </x:row>
    <x:row r="13">
      <x:c r="A13" s="28" t="str">
        <x:v>Holze2023</x:v>
      </x:c>
      <x:c r="B13" s="29" t="str">
        <x:v>Holze 2023</x:v>
      </x:c>
      <x:c r="C13" s="29" t="str">
        <x:v>placebo_inactif</x:v>
      </x:c>
      <x:c r="D13" s="29" t="str">
        <x:v>LSD</x:v>
      </x:c>
      <x:c r="E13" s="29" t="n">
        <x:v>42</x:v>
      </x:c>
      <x:c r="F13" s="29" t="str">
        <x:v>Anxiety attack</x:v>
      </x:c>
      <x:c r="G13" s="29" t="str">
        <x:v>session</x:v>
      </x:c>
      <x:c r="H13" s="34" t="n">
        <x:v>0</x:v>
      </x:c>
      <x:c r="I13" s="29" t="n">
        <x:v>0</x:v>
      </x:c>
      <x:c r="J13" s="36" t="n">
        <x:v>0</x:v>
      </x:c>
    </x:row>
    <x:row r="14">
      <x:c r="A14" s="28" t="str">
        <x:v>Holze2023</x:v>
      </x:c>
      <x:c r="B14" s="29" t="str">
        <x:v>Holze 2023</x:v>
      </x:c>
      <x:c r="C14" s="29" t="str">
        <x:v>lsd_200ug</x:v>
      </x:c>
      <x:c r="D14" s="29" t="str">
        <x:v>LSD</x:v>
      </x:c>
      <x:c r="E14" s="29" t="n">
        <x:v>42</x:v>
      </x:c>
      <x:c r="F14" s="29" t="str">
        <x:v>Anxiety attack</x:v>
      </x:c>
      <x:c r="G14" s="29" t="str">
        <x:v>follow_up</x:v>
      </x:c>
      <x:c r="H14" s="34" t="n">
        <x:v>0</x:v>
      </x:c>
      <x:c r="I14" s="29" t="n">
        <x:v>200</x:v>
      </x:c>
      <x:c r="J14" s="36" t="n">
        <x:v>0</x:v>
      </x:c>
    </x:row>
    <x:row r="15">
      <x:c r="A15" s="28" t="str">
        <x:v>Holze2023</x:v>
      </x:c>
      <x:c r="B15" s="29" t="str">
        <x:v>Holze 2023</x:v>
      </x:c>
      <x:c r="C15" s="29" t="str">
        <x:v>placebo_inactif</x:v>
      </x:c>
      <x:c r="D15" s="29" t="str">
        <x:v>LSD</x:v>
      </x:c>
      <x:c r="E15" s="29" t="n">
        <x:v>42</x:v>
      </x:c>
      <x:c r="F15" s="29" t="str">
        <x:v>Anxiety attack</x:v>
      </x:c>
      <x:c r="G15" s="29" t="str">
        <x:v>follow_up</x:v>
      </x:c>
      <x:c r="H15" s="34" t="n">
        <x:v>0</x:v>
      </x:c>
      <x:c r="I15" s="29" t="n">
        <x:v>0</x:v>
      </x:c>
      <x:c r="J15" s="36" t="n">
        <x:v>0</x:v>
      </x:c>
    </x:row>
    <x:row r="16">
      <x:c r="A16" s="28" t="str">
        <x:v>Holze2023</x:v>
      </x:c>
      <x:c r="B16" s="29" t="str">
        <x:v>Holze 2023</x:v>
      </x:c>
      <x:c r="C16" s="29" t="str">
        <x:v>lsd_200ug</x:v>
      </x:c>
      <x:c r="D16" s="29" t="str">
        <x:v>LSD</x:v>
      </x:c>
      <x:c r="E16" s="29" t="n">
        <x:v>42</x:v>
      </x:c>
      <x:c r="F16" s="29" t="str">
        <x:v>Compulsive thoughts</x:v>
      </x:c>
      <x:c r="G16" s="29" t="str">
        <x:v>session</x:v>
      </x:c>
      <x:c r="H16" s="34" t="n">
        <x:v>0.023809523809523808</x:v>
      </x:c>
      <x:c r="I16" s="29" t="n">
        <x:v>200</x:v>
      </x:c>
      <x:c r="J16" s="36" t="n">
        <x:v>1</x:v>
      </x:c>
    </x:row>
    <x:row r="17">
      <x:c r="A17" s="28" t="str">
        <x:v>Holze2023</x:v>
      </x:c>
      <x:c r="B17" s="29" t="str">
        <x:v>Holze 2023</x:v>
      </x:c>
      <x:c r="C17" s="29" t="str">
        <x:v>placebo_inactif</x:v>
      </x:c>
      <x:c r="D17" s="29" t="str">
        <x:v>LSD</x:v>
      </x:c>
      <x:c r="E17" s="29" t="n">
        <x:v>42</x:v>
      </x:c>
      <x:c r="F17" s="29" t="str">
        <x:v>Compulsive thoughts</x:v>
      </x:c>
      <x:c r="G17" s="29" t="str">
        <x:v>session</x:v>
      </x:c>
      <x:c r="H17" s="34" t="n">
        <x:v>0</x:v>
      </x:c>
      <x:c r="I17" s="29" t="n">
        <x:v>0</x:v>
      </x:c>
      <x:c r="J17" s="36" t="n">
        <x:v>0</x:v>
      </x:c>
    </x:row>
    <x:row r="18">
      <x:c r="A18" s="28" t="str">
        <x:v>Holze2023</x:v>
      </x:c>
      <x:c r="B18" s="29" t="str">
        <x:v>Holze 2023</x:v>
      </x:c>
      <x:c r="C18" s="29" t="str">
        <x:v>lsd_200ug</x:v>
      </x:c>
      <x:c r="D18" s="29" t="str">
        <x:v>LSD</x:v>
      </x:c>
      <x:c r="E18" s="29" t="n">
        <x:v>42</x:v>
      </x:c>
      <x:c r="F18" s="29" t="str">
        <x:v>Compulsive thoughts</x:v>
      </x:c>
      <x:c r="G18" s="29" t="str">
        <x:v>follow_up</x:v>
      </x:c>
      <x:c r="H18" s="34" t="n">
        <x:v>0</x:v>
      </x:c>
      <x:c r="I18" s="29" t="n">
        <x:v>200</x:v>
      </x:c>
      <x:c r="J18" s="36" t="n">
        <x:v>0</x:v>
      </x:c>
    </x:row>
    <x:row r="19">
      <x:c r="A19" s="28" t="str">
        <x:v>Holze2023</x:v>
      </x:c>
      <x:c r="B19" s="29" t="str">
        <x:v>Holze 2023</x:v>
      </x:c>
      <x:c r="C19" s="29" t="str">
        <x:v>placebo_inactif</x:v>
      </x:c>
      <x:c r="D19" s="29" t="str">
        <x:v>LSD</x:v>
      </x:c>
      <x:c r="E19" s="29" t="n">
        <x:v>42</x:v>
      </x:c>
      <x:c r="F19" s="29" t="str">
        <x:v>Compulsive thoughts</x:v>
      </x:c>
      <x:c r="G19" s="29" t="str">
        <x:v>follow_up</x:v>
      </x:c>
      <x:c r="H19" s="34" t="n">
        <x:v>0</x:v>
      </x:c>
      <x:c r="I19" s="29" t="n">
        <x:v>0</x:v>
      </x:c>
      <x:c r="J19" s="36" t="n">
        <x:v>0</x:v>
      </x:c>
    </x:row>
    <x:row r="20">
      <x:c r="A20" s="28" t="str">
        <x:v>Holze2023</x:v>
      </x:c>
      <x:c r="B20" s="29" t="str">
        <x:v>Holze 2023</x:v>
      </x:c>
      <x:c r="C20" s="29" t="str">
        <x:v>lsd_200ug</x:v>
      </x:c>
      <x:c r="D20" s="29" t="str">
        <x:v>LSD</x:v>
      </x:c>
      <x:c r="E20" s="29" t="n">
        <x:v>42</x:v>
      </x:c>
      <x:c r="F20" s="29" t="str">
        <x:v>Confusion</x:v>
      </x:c>
      <x:c r="G20" s="29" t="str">
        <x:v>session</x:v>
      </x:c>
      <x:c r="H20" s="34" t="n">
        <x:v>0</x:v>
      </x:c>
      <x:c r="I20" s="29" t="n">
        <x:v>200</x:v>
      </x:c>
      <x:c r="J20" s="36" t="n">
        <x:v>0</x:v>
      </x:c>
    </x:row>
    <x:row r="21">
      <x:c r="A21" s="28" t="str">
        <x:v>Holze2023</x:v>
      </x:c>
      <x:c r="B21" s="29" t="str">
        <x:v>Holze 2023</x:v>
      </x:c>
      <x:c r="C21" s="29" t="str">
        <x:v>placebo_inactif</x:v>
      </x:c>
      <x:c r="D21" s="29" t="str">
        <x:v>LSD</x:v>
      </x:c>
      <x:c r="E21" s="29" t="n">
        <x:v>42</x:v>
      </x:c>
      <x:c r="F21" s="29" t="str">
        <x:v>Confusion</x:v>
      </x:c>
      <x:c r="G21" s="29" t="str">
        <x:v>session</x:v>
      </x:c>
      <x:c r="H21" s="34" t="n">
        <x:v>0</x:v>
      </x:c>
      <x:c r="I21" s="29" t="n">
        <x:v>0</x:v>
      </x:c>
      <x:c r="J21" s="36" t="n">
        <x:v>0</x:v>
      </x:c>
    </x:row>
    <x:row r="22">
      <x:c r="A22" s="28" t="str">
        <x:v>Holze2023</x:v>
      </x:c>
      <x:c r="B22" s="29" t="str">
        <x:v>Holze 2023</x:v>
      </x:c>
      <x:c r="C22" s="29" t="str">
        <x:v>lsd_200ug</x:v>
      </x:c>
      <x:c r="D22" s="29" t="str">
        <x:v>LSD</x:v>
      </x:c>
      <x:c r="E22" s="29" t="n">
        <x:v>42</x:v>
      </x:c>
      <x:c r="F22" s="29" t="str">
        <x:v>Confusion</x:v>
      </x:c>
      <x:c r="G22" s="29" t="str">
        <x:v>follow_up</x:v>
      </x:c>
      <x:c r="H22" s="34" t="n">
        <x:v>0</x:v>
      </x:c>
      <x:c r="I22" s="29" t="n">
        <x:v>200</x:v>
      </x:c>
      <x:c r="J22" s="36" t="n">
        <x:v>0</x:v>
      </x:c>
    </x:row>
    <x:row r="23">
      <x:c r="A23" s="28" t="str">
        <x:v>Holze2023</x:v>
      </x:c>
      <x:c r="B23" s="29" t="str">
        <x:v>Holze 2023</x:v>
      </x:c>
      <x:c r="C23" s="29" t="str">
        <x:v>placebo_inactif</x:v>
      </x:c>
      <x:c r="D23" s="29" t="str">
        <x:v>LSD</x:v>
      </x:c>
      <x:c r="E23" s="29" t="n">
        <x:v>42</x:v>
      </x:c>
      <x:c r="F23" s="29" t="str">
        <x:v>Confusion</x:v>
      </x:c>
      <x:c r="G23" s="29" t="str">
        <x:v>follow_up</x:v>
      </x:c>
      <x:c r="H23" s="34" t="n">
        <x:v>0.023809523809523808</x:v>
      </x:c>
      <x:c r="I23" s="29" t="n">
        <x:v>0</x:v>
      </x:c>
      <x:c r="J23" s="36" t="n">
        <x:v>1</x:v>
      </x:c>
    </x:row>
    <x:row r="24">
      <x:c r="A24" s="28" t="str">
        <x:v>Holze2023</x:v>
      </x:c>
      <x:c r="B24" s="29" t="str">
        <x:v>Holze 2023</x:v>
      </x:c>
      <x:c r="C24" s="29" t="str">
        <x:v>lsd_200ug</x:v>
      </x:c>
      <x:c r="D24" s="29" t="str">
        <x:v>LSD</x:v>
      </x:c>
      <x:c r="E24" s="29" t="n">
        <x:v>42</x:v>
      </x:c>
      <x:c r="F24" s="29" t="str">
        <x:v>Restlessness</x:v>
      </x:c>
      <x:c r="G24" s="29" t="str">
        <x:v>session</x:v>
      </x:c>
      <x:c r="H24" s="34" t="n">
        <x:v>0.023809523809523808</x:v>
      </x:c>
      <x:c r="I24" s="29" t="n">
        <x:v>200</x:v>
      </x:c>
      <x:c r="J24" s="36" t="n">
        <x:v>1</x:v>
      </x:c>
    </x:row>
    <x:row r="25">
      <x:c r="A25" s="28" t="str">
        <x:v>Holze2023</x:v>
      </x:c>
      <x:c r="B25" s="29" t="str">
        <x:v>Holze 2023</x:v>
      </x:c>
      <x:c r="C25" s="29" t="str">
        <x:v>placebo_inactif</x:v>
      </x:c>
      <x:c r="D25" s="29" t="str">
        <x:v>LSD</x:v>
      </x:c>
      <x:c r="E25" s="29" t="n">
        <x:v>42</x:v>
      </x:c>
      <x:c r="F25" s="29" t="str">
        <x:v>Restlessness</x:v>
      </x:c>
      <x:c r="G25" s="29" t="str">
        <x:v>session</x:v>
      </x:c>
      <x:c r="H25" s="34" t="n">
        <x:v>0</x:v>
      </x:c>
      <x:c r="I25" s="29" t="n">
        <x:v>0</x:v>
      </x:c>
      <x:c r="J25" s="36" t="n">
        <x:v>0</x:v>
      </x:c>
    </x:row>
    <x:row r="26">
      <x:c r="A26" s="28" t="str">
        <x:v>Holze2023</x:v>
      </x:c>
      <x:c r="B26" s="29" t="str">
        <x:v>Holze 2023</x:v>
      </x:c>
      <x:c r="C26" s="29" t="str">
        <x:v>lsd_200ug</x:v>
      </x:c>
      <x:c r="D26" s="29" t="str">
        <x:v>LSD</x:v>
      </x:c>
      <x:c r="E26" s="29" t="n">
        <x:v>42</x:v>
      </x:c>
      <x:c r="F26" s="29" t="str">
        <x:v>Restlessness</x:v>
      </x:c>
      <x:c r="G26" s="29" t="str">
        <x:v>follow_up</x:v>
      </x:c>
      <x:c r="H26" s="34" t="n">
        <x:v>0</x:v>
      </x:c>
      <x:c r="I26" s="29" t="n">
        <x:v>200</x:v>
      </x:c>
      <x:c r="J26" s="36" t="n">
        <x:v>0</x:v>
      </x:c>
    </x:row>
    <x:row r="27">
      <x:c r="A27" s="28" t="str">
        <x:v>Holze2023</x:v>
      </x:c>
      <x:c r="B27" s="29" t="str">
        <x:v>Holze 2023</x:v>
      </x:c>
      <x:c r="C27" s="29" t="str">
        <x:v>placebo_inactif</x:v>
      </x:c>
      <x:c r="D27" s="29" t="str">
        <x:v>LSD</x:v>
      </x:c>
      <x:c r="E27" s="29" t="n">
        <x:v>42</x:v>
      </x:c>
      <x:c r="F27" s="29" t="str">
        <x:v>Restlessness</x:v>
      </x:c>
      <x:c r="G27" s="29" t="str">
        <x:v>follow_up</x:v>
      </x:c>
      <x:c r="H27" s="34" t="n">
        <x:v>0</x:v>
      </x:c>
      <x:c r="I27" s="29" t="n">
        <x:v>0</x:v>
      </x:c>
      <x:c r="J27" s="36" t="n">
        <x:v>0</x:v>
      </x:c>
    </x:row>
    <x:row r="28">
      <x:c r="A28" s="28" t="str">
        <x:v>Holze2023</x:v>
      </x:c>
      <x:c r="B28" s="29" t="str">
        <x:v>Holze 2023</x:v>
      </x:c>
      <x:c r="C28" s="29" t="str">
        <x:v>lsd_200ug</x:v>
      </x:c>
      <x:c r="D28" s="29" t="str">
        <x:v>LSD</x:v>
      </x:c>
      <x:c r="E28" s="29" t="n">
        <x:v>42</x:v>
      </x:c>
      <x:c r="F28" s="29" t="str">
        <x:v>Psychosomatic complaints</x:v>
      </x:c>
      <x:c r="G28" s="29" t="str">
        <x:v>session</x:v>
      </x:c>
      <x:c r="H28" s="34" t="n">
        <x:v>0</x:v>
      </x:c>
      <x:c r="I28" s="29" t="n">
        <x:v>200</x:v>
      </x:c>
      <x:c r="J28" s="36" t="n">
        <x:v>0</x:v>
      </x:c>
    </x:row>
    <x:row r="29">
      <x:c r="A29" s="28" t="str">
        <x:v>Holze2023</x:v>
      </x:c>
      <x:c r="B29" s="29" t="str">
        <x:v>Holze 2023</x:v>
      </x:c>
      <x:c r="C29" s="29" t="str">
        <x:v>placebo_inactif</x:v>
      </x:c>
      <x:c r="D29" s="29" t="str">
        <x:v>LSD</x:v>
      </x:c>
      <x:c r="E29" s="29" t="n">
        <x:v>42</x:v>
      </x:c>
      <x:c r="F29" s="29" t="str">
        <x:v>Psychosomatic complaints</x:v>
      </x:c>
      <x:c r="G29" s="29" t="str">
        <x:v>session</x:v>
      </x:c>
      <x:c r="H29" s="34" t="n">
        <x:v>0</x:v>
      </x:c>
      <x:c r="I29" s="29" t="n">
        <x:v>0</x:v>
      </x:c>
      <x:c r="J29" s="36" t="n">
        <x:v>0</x:v>
      </x:c>
    </x:row>
    <x:row r="30">
      <x:c r="A30" s="28" t="str">
        <x:v>Holze2023</x:v>
      </x:c>
      <x:c r="B30" s="29" t="str">
        <x:v>Holze 2023</x:v>
      </x:c>
      <x:c r="C30" s="29" t="str">
        <x:v>lsd_200ug</x:v>
      </x:c>
      <x:c r="D30" s="29" t="str">
        <x:v>LSD</x:v>
      </x:c>
      <x:c r="E30" s="29" t="n">
        <x:v>42</x:v>
      </x:c>
      <x:c r="F30" s="29" t="str">
        <x:v>Psychosomatic complaints</x:v>
      </x:c>
      <x:c r="G30" s="29" t="str">
        <x:v>follow_up</x:v>
      </x:c>
      <x:c r="H30" s="34" t="n">
        <x:v>0</x:v>
      </x:c>
      <x:c r="I30" s="29" t="n">
        <x:v>200</x:v>
      </x:c>
      <x:c r="J30" s="36" t="n">
        <x:v>0</x:v>
      </x:c>
    </x:row>
    <x:row r="31">
      <x:c r="A31" s="28" t="str">
        <x:v>Holze2023</x:v>
      </x:c>
      <x:c r="B31" s="29" t="str">
        <x:v>Holze 2023</x:v>
      </x:c>
      <x:c r="C31" s="29" t="str">
        <x:v>placebo_inactif</x:v>
      </x:c>
      <x:c r="D31" s="29" t="str">
        <x:v>LSD</x:v>
      </x:c>
      <x:c r="E31" s="29" t="n">
        <x:v>42</x:v>
      </x:c>
      <x:c r="F31" s="29" t="str">
        <x:v>Psychosomatic complaints</x:v>
      </x:c>
      <x:c r="G31" s="29" t="str">
        <x:v>follow_up</x:v>
      </x:c>
      <x:c r="H31" s="34" t="n">
        <x:v>0.023809523809523808</x:v>
      </x:c>
      <x:c r="I31" s="29" t="n">
        <x:v>0</x:v>
      </x:c>
      <x:c r="J31" s="36" t="n">
        <x:v>1</x:v>
      </x:c>
    </x:row>
    <x:row r="32">
      <x:c r="A32" s="28" t="str">
        <x:v>Holze2023</x:v>
      </x:c>
      <x:c r="B32" s="29" t="str">
        <x:v>Holze 2023</x:v>
      </x:c>
      <x:c r="C32" s="29" t="str">
        <x:v>lsd_200ug</x:v>
      </x:c>
      <x:c r="D32" s="29" t="str">
        <x:v>LSD</x:v>
      </x:c>
      <x:c r="E32" s="29" t="n">
        <x:v>42</x:v>
      </x:c>
      <x:c r="F32" s="29" t="str">
        <x:v>Depression, suicidal thoughts</x:v>
      </x:c>
      <x:c r="G32" s="29" t="str">
        <x:v>session</x:v>
      </x:c>
      <x:c r="H32" s="34" t="n">
        <x:v>0.023809523809523808</x:v>
      </x:c>
      <x:c r="I32" s="29" t="n">
        <x:v>200</x:v>
      </x:c>
      <x:c r="J32" s="36" t="n">
        <x:v>1</x:v>
      </x:c>
    </x:row>
    <x:row r="33">
      <x:c r="A33" s="28" t="str">
        <x:v>Holze2023</x:v>
      </x:c>
      <x:c r="B33" s="29" t="str">
        <x:v>Holze 2023</x:v>
      </x:c>
      <x:c r="C33" s="29" t="str">
        <x:v>placebo_inactif</x:v>
      </x:c>
      <x:c r="D33" s="29" t="str">
        <x:v>LSD</x:v>
      </x:c>
      <x:c r="E33" s="29" t="n">
        <x:v>42</x:v>
      </x:c>
      <x:c r="F33" s="29" t="str">
        <x:v>Depression, suicidal thoughts</x:v>
      </x:c>
      <x:c r="G33" s="29" t="str">
        <x:v>session</x:v>
      </x:c>
      <x:c r="H33" s="34" t="n">
        <x:v>0</x:v>
      </x:c>
      <x:c r="I33" s="29" t="n">
        <x:v>0</x:v>
      </x:c>
      <x:c r="J33" s="36" t="n">
        <x:v>0</x:v>
      </x:c>
    </x:row>
    <x:row r="34">
      <x:c r="A34" s="28" t="str">
        <x:v>Holze2023</x:v>
      </x:c>
      <x:c r="B34" s="29" t="str">
        <x:v>Holze 2023</x:v>
      </x:c>
      <x:c r="C34" s="29" t="str">
        <x:v>lsd_200ug</x:v>
      </x:c>
      <x:c r="D34" s="29" t="str">
        <x:v>LSD</x:v>
      </x:c>
      <x:c r="E34" s="29" t="n">
        <x:v>42</x:v>
      </x:c>
      <x:c r="F34" s="29" t="str">
        <x:v>Depression, suicidal thoughts</x:v>
      </x:c>
      <x:c r="G34" s="29" t="str">
        <x:v>follow_up</x:v>
      </x:c>
      <x:c r="H34" s="34" t="n">
        <x:v>0</x:v>
      </x:c>
      <x:c r="I34" s="29" t="n">
        <x:v>200</x:v>
      </x:c>
      <x:c r="J34" s="36" t="n">
        <x:v>0</x:v>
      </x:c>
    </x:row>
    <x:row r="35">
      <x:c r="A35" s="28" t="str">
        <x:v>Holze2023</x:v>
      </x:c>
      <x:c r="B35" s="29" t="str">
        <x:v>Holze 2023</x:v>
      </x:c>
      <x:c r="C35" s="29" t="str">
        <x:v>placebo_inactif</x:v>
      </x:c>
      <x:c r="D35" s="29" t="str">
        <x:v>LSD</x:v>
      </x:c>
      <x:c r="E35" s="29" t="n">
        <x:v>42</x:v>
      </x:c>
      <x:c r="F35" s="29" t="str">
        <x:v>Depression, suicidal thoughts</x:v>
      </x:c>
      <x:c r="G35" s="29" t="str">
        <x:v>follow_up</x:v>
      </x:c>
      <x:c r="H35" s="34" t="n">
        <x:v>0</x:v>
      </x:c>
      <x:c r="I35" s="29" t="n">
        <x:v>0</x:v>
      </x:c>
      <x:c r="J35" s="36" t="n">
        <x:v>0</x:v>
      </x:c>
    </x:row>
    <x:row r="36">
      <x:c r="A36" s="28" t="str">
        <x:v>Holze2023</x:v>
      </x:c>
      <x:c r="B36" s="29" t="str">
        <x:v>Holze 2023</x:v>
      </x:c>
      <x:c r="C36" s="29" t="str">
        <x:v>lsd_200ug</x:v>
      </x:c>
      <x:c r="D36" s="29" t="str">
        <x:v>LSD</x:v>
      </x:c>
      <x:c r="E36" s="29" t="n">
        <x:v>42</x:v>
      </x:c>
      <x:c r="F36" s="29" t="str">
        <x:v>Nightmares</x:v>
      </x:c>
      <x:c r="G36" s="29" t="str">
        <x:v>session</x:v>
      </x:c>
      <x:c r="H36" s="34" t="n">
        <x:v>0.023809523809523808</x:v>
      </x:c>
      <x:c r="I36" s="29" t="n">
        <x:v>200</x:v>
      </x:c>
      <x:c r="J36" s="36" t="n">
        <x:v>1</x:v>
      </x:c>
    </x:row>
    <x:row r="37">
      <x:c r="A37" s="28" t="str">
        <x:v>Holze2023</x:v>
      </x:c>
      <x:c r="B37" s="29" t="str">
        <x:v>Holze 2023</x:v>
      </x:c>
      <x:c r="C37" s="29" t="str">
        <x:v>placebo_inactif</x:v>
      </x:c>
      <x:c r="D37" s="29" t="str">
        <x:v>LSD</x:v>
      </x:c>
      <x:c r="E37" s="29" t="n">
        <x:v>42</x:v>
      </x:c>
      <x:c r="F37" s="29" t="str">
        <x:v>Nightmares</x:v>
      </x:c>
      <x:c r="G37" s="29" t="str">
        <x:v>session</x:v>
      </x:c>
      <x:c r="H37" s="34" t="n">
        <x:v>0</x:v>
      </x:c>
      <x:c r="I37" s="29" t="n">
        <x:v>0</x:v>
      </x:c>
      <x:c r="J37" s="36" t="n">
        <x:v>0</x:v>
      </x:c>
    </x:row>
    <x:row r="38">
      <x:c r="A38" s="28" t="str">
        <x:v>Holze2023</x:v>
      </x:c>
      <x:c r="B38" s="29" t="str">
        <x:v>Holze 2023</x:v>
      </x:c>
      <x:c r="C38" s="29" t="str">
        <x:v>lsd_200ug</x:v>
      </x:c>
      <x:c r="D38" s="29" t="str">
        <x:v>LSD</x:v>
      </x:c>
      <x:c r="E38" s="29" t="n">
        <x:v>42</x:v>
      </x:c>
      <x:c r="F38" s="29" t="str">
        <x:v>Nightmares</x:v>
      </x:c>
      <x:c r="G38" s="29" t="str">
        <x:v>follow_up</x:v>
      </x:c>
      <x:c r="H38" s="34" t="n">
        <x:v>0</x:v>
      </x:c>
      <x:c r="I38" s="29" t="n">
        <x:v>200</x:v>
      </x:c>
      <x:c r="J38" s="36" t="n">
        <x:v>0</x:v>
      </x:c>
    </x:row>
    <x:row r="39">
      <x:c r="A39" s="28" t="str">
        <x:v>Holze2023</x:v>
      </x:c>
      <x:c r="B39" s="29" t="str">
        <x:v>Holze 2023</x:v>
      </x:c>
      <x:c r="C39" s="29" t="str">
        <x:v>placebo_inactif</x:v>
      </x:c>
      <x:c r="D39" s="29" t="str">
        <x:v>LSD</x:v>
      </x:c>
      <x:c r="E39" s="29" t="n">
        <x:v>42</x:v>
      </x:c>
      <x:c r="F39" s="29" t="str">
        <x:v>Nightmares</x:v>
      </x:c>
      <x:c r="G39" s="29" t="str">
        <x:v>follow_up</x:v>
      </x:c>
      <x:c r="H39" s="34" t="n">
        <x:v>0</x:v>
      </x:c>
      <x:c r="I39" s="29" t="n">
        <x:v>0</x:v>
      </x:c>
      <x:c r="J39" s="36" t="n">
        <x:v>0</x:v>
      </x:c>
    </x:row>
    <x:row r="40">
      <x:c r="A40" s="28" t="str">
        <x:v>Holze2023</x:v>
      </x:c>
      <x:c r="B40" s="29" t="str">
        <x:v>Holze 2023</x:v>
      </x:c>
      <x:c r="C40" s="29" t="str">
        <x:v>lsd_200ug</x:v>
      </x:c>
      <x:c r="D40" s="29" t="str">
        <x:v>LSD</x:v>
      </x:c>
      <x:c r="E40" s="29" t="n">
        <x:v>42</x:v>
      </x:c>
      <x:c r="F40" s="29" t="str">
        <x:v>Tumorrelapse</x:v>
      </x:c>
      <x:c r="G40" s="29" t="str">
        <x:v>session</x:v>
      </x:c>
      <x:c r="H40" s="34" t="n">
        <x:v>0</x:v>
      </x:c>
      <x:c r="I40" s="29" t="n">
        <x:v>200</x:v>
      </x:c>
      <x:c r="J40" s="36" t="n">
        <x:v>0</x:v>
      </x:c>
    </x:row>
    <x:row r="41">
      <x:c r="A41" s="28" t="str">
        <x:v>Holze2023</x:v>
      </x:c>
      <x:c r="B41" s="29" t="str">
        <x:v>Holze 2023</x:v>
      </x:c>
      <x:c r="C41" s="29" t="str">
        <x:v>placebo_inactif</x:v>
      </x:c>
      <x:c r="D41" s="29" t="str">
        <x:v>LSD</x:v>
      </x:c>
      <x:c r="E41" s="29" t="n">
        <x:v>42</x:v>
      </x:c>
      <x:c r="F41" s="29" t="str">
        <x:v>Tumorrelapse</x:v>
      </x:c>
      <x:c r="G41" s="29" t="str">
        <x:v>session</x:v>
      </x:c>
      <x:c r="H41" s="34" t="n">
        <x:v>0</x:v>
      </x:c>
      <x:c r="I41" s="29" t="n">
        <x:v>0</x:v>
      </x:c>
      <x:c r="J41" s="36" t="n">
        <x:v>0</x:v>
      </x:c>
    </x:row>
    <x:row r="42">
      <x:c r="A42" s="28" t="str">
        <x:v>Holze2023</x:v>
      </x:c>
      <x:c r="B42" s="29" t="str">
        <x:v>Holze 2023</x:v>
      </x:c>
      <x:c r="C42" s="29" t="str">
        <x:v>lsd_200ug</x:v>
      </x:c>
      <x:c r="D42" s="29" t="str">
        <x:v>LSD</x:v>
      </x:c>
      <x:c r="E42" s="29" t="n">
        <x:v>42</x:v>
      </x:c>
      <x:c r="F42" s="29" t="str">
        <x:v>Tumorrelapse</x:v>
      </x:c>
      <x:c r="G42" s="29" t="str">
        <x:v>follow_up</x:v>
      </x:c>
      <x:c r="H42" s="34" t="n">
        <x:v>0</x:v>
      </x:c>
      <x:c r="I42" s="29" t="n">
        <x:v>200</x:v>
      </x:c>
      <x:c r="J42" s="36" t="n">
        <x:v>0</x:v>
      </x:c>
    </x:row>
    <x:row r="43">
      <x:c r="A43" s="28" t="str">
        <x:v>Holze2023</x:v>
      </x:c>
      <x:c r="B43" s="29" t="str">
        <x:v>Holze 2023</x:v>
      </x:c>
      <x:c r="C43" s="29" t="str">
        <x:v>placebo_inactif</x:v>
      </x:c>
      <x:c r="D43" s="29" t="str">
        <x:v>LSD</x:v>
      </x:c>
      <x:c r="E43" s="29" t="n">
        <x:v>42</x:v>
      </x:c>
      <x:c r="F43" s="29" t="str">
        <x:v>Tumorrelapse</x:v>
      </x:c>
      <x:c r="G43" s="29" t="str">
        <x:v>follow_up</x:v>
      </x:c>
      <x:c r="H43" s="34" t="n">
        <x:v>0.023809523809523808</x:v>
      </x:c>
      <x:c r="I43" s="29" t="n">
        <x:v>0</x:v>
      </x:c>
      <x:c r="J43" s="36" t="n">
        <x:v>1</x:v>
      </x:c>
    </x:row>
    <x:row r="44">
      <x:c r="A44" s="28" t="str">
        <x:v>Holze2023</x:v>
      </x:c>
      <x:c r="B44" s="29" t="str">
        <x:v>Holze 2023</x:v>
      </x:c>
      <x:c r="C44" s="29" t="str">
        <x:v>lsd_200ug</x:v>
      </x:c>
      <x:c r="D44" s="29" t="str">
        <x:v>LSD</x:v>
      </x:c>
      <x:c r="E44" s="29" t="n">
        <x:v>42</x:v>
      </x:c>
      <x:c r="F44" s="29" t="str">
        <x:v>Rejection reaction</x:v>
      </x:c>
      <x:c r="G44" s="29" t="str">
        <x:v>session</x:v>
      </x:c>
      <x:c r="H44" s="34" t="n">
        <x:v>0</x:v>
      </x:c>
      <x:c r="I44" s="29" t="n">
        <x:v>200</x:v>
      </x:c>
      <x:c r="J44" s="36" t="n">
        <x:v>0</x:v>
      </x:c>
    </x:row>
    <x:row r="45">
      <x:c r="A45" s="28" t="str">
        <x:v>Holze2023</x:v>
      </x:c>
      <x:c r="B45" s="29" t="str">
        <x:v>Holze 2023</x:v>
      </x:c>
      <x:c r="C45" s="29" t="str">
        <x:v>placebo_inactif</x:v>
      </x:c>
      <x:c r="D45" s="29" t="str">
        <x:v>LSD</x:v>
      </x:c>
      <x:c r="E45" s="29" t="n">
        <x:v>42</x:v>
      </x:c>
      <x:c r="F45" s="29" t="str">
        <x:v>Rejection reaction</x:v>
      </x:c>
      <x:c r="G45" s="29" t="str">
        <x:v>session</x:v>
      </x:c>
      <x:c r="H45" s="34" t="n">
        <x:v>0.023809523809523808</x:v>
      </x:c>
      <x:c r="I45" s="29" t="n">
        <x:v>0</x:v>
      </x:c>
      <x:c r="J45" s="36" t="n">
        <x:v>1</x:v>
      </x:c>
    </x:row>
    <x:row r="46">
      <x:c r="A46" s="28" t="str">
        <x:v>Holze2023</x:v>
      </x:c>
      <x:c r="B46" s="29" t="str">
        <x:v>Holze 2023</x:v>
      </x:c>
      <x:c r="C46" s="29" t="str">
        <x:v>lsd_200ug</x:v>
      </x:c>
      <x:c r="D46" s="29" t="str">
        <x:v>LSD</x:v>
      </x:c>
      <x:c r="E46" s="29" t="n">
        <x:v>42</x:v>
      </x:c>
      <x:c r="F46" s="29" t="str">
        <x:v>Rejection reaction</x:v>
      </x:c>
      <x:c r="G46" s="29" t="str">
        <x:v>follow_up</x:v>
      </x:c>
      <x:c r="H46" s="34" t="n">
        <x:v>0</x:v>
      </x:c>
      <x:c r="I46" s="29" t="n">
        <x:v>200</x:v>
      </x:c>
      <x:c r="J46" s="36" t="n">
        <x:v>0</x:v>
      </x:c>
    </x:row>
    <x:row r="47">
      <x:c r="A47" s="28" t="str">
        <x:v>Holze2023</x:v>
      </x:c>
      <x:c r="B47" s="29" t="str">
        <x:v>Holze 2023</x:v>
      </x:c>
      <x:c r="C47" s="29" t="str">
        <x:v>placebo_inactif</x:v>
      </x:c>
      <x:c r="D47" s="29" t="str">
        <x:v>LSD</x:v>
      </x:c>
      <x:c r="E47" s="29" t="n">
        <x:v>42</x:v>
      </x:c>
      <x:c r="F47" s="29" t="str">
        <x:v>Rejection reaction</x:v>
      </x:c>
      <x:c r="G47" s="29" t="str">
        <x:v>follow_up</x:v>
      </x:c>
      <x:c r="H47" s="34" t="n">
        <x:v>0</x:v>
      </x:c>
      <x:c r="I47" s="29" t="n">
        <x:v>0</x:v>
      </x:c>
      <x:c r="J47" s="36" t="n">
        <x:v>0</x:v>
      </x:c>
    </x:row>
    <x:row r="48">
      <x:c r="A48" s="28" t="str">
        <x:v>Holze2023</x:v>
      </x:c>
      <x:c r="B48" s="29" t="str">
        <x:v>Holze 2023</x:v>
      </x:c>
      <x:c r="C48" s="29" t="str">
        <x:v>lsd_200ug</x:v>
      </x:c>
      <x:c r="D48" s="29" t="str">
        <x:v>LSD</x:v>
      </x:c>
      <x:c r="E48" s="29" t="n">
        <x:v>42</x:v>
      </x:c>
      <x:c r="F48" s="29" t="str">
        <x:v>Tumorprogression</x:v>
      </x:c>
      <x:c r="G48" s="29" t="str">
        <x:v>session</x:v>
      </x:c>
      <x:c r="H48" s="34" t="n">
        <x:v>0</x:v>
      </x:c>
      <x:c r="I48" s="29" t="n">
        <x:v>200</x:v>
      </x:c>
      <x:c r="J48" s="36" t="n">
        <x:v>0</x:v>
      </x:c>
    </x:row>
    <x:row r="49">
      <x:c r="A49" s="28" t="str">
        <x:v>Holze2023</x:v>
      </x:c>
      <x:c r="B49" s="29" t="str">
        <x:v>Holze 2023</x:v>
      </x:c>
      <x:c r="C49" s="29" t="str">
        <x:v>placebo_inactif</x:v>
      </x:c>
      <x:c r="D49" s="29" t="str">
        <x:v>LSD</x:v>
      </x:c>
      <x:c r="E49" s="29" t="n">
        <x:v>42</x:v>
      </x:c>
      <x:c r="F49" s="29" t="str">
        <x:v>Tumorprogression</x:v>
      </x:c>
      <x:c r="G49" s="29" t="str">
        <x:v>session</x:v>
      </x:c>
      <x:c r="H49" s="34" t="n">
        <x:v>0</x:v>
      </x:c>
      <x:c r="I49" s="29" t="n">
        <x:v>0</x:v>
      </x:c>
      <x:c r="J49" s="36" t="n">
        <x:v>0</x:v>
      </x:c>
    </x:row>
    <x:row r="50">
      <x:c r="A50" s="28" t="str">
        <x:v>Holze2023</x:v>
      </x:c>
      <x:c r="B50" s="29" t="str">
        <x:v>Holze 2023</x:v>
      </x:c>
      <x:c r="C50" s="29" t="str">
        <x:v>lsd_200ug</x:v>
      </x:c>
      <x:c r="D50" s="29" t="str">
        <x:v>LSD</x:v>
      </x:c>
      <x:c r="E50" s="29" t="n">
        <x:v>42</x:v>
      </x:c>
      <x:c r="F50" s="29" t="str">
        <x:v>Tumorprogression</x:v>
      </x:c>
      <x:c r="G50" s="29" t="str">
        <x:v>follow_up</x:v>
      </x:c>
      <x:c r="H50" s="34" t="n">
        <x:v>0</x:v>
      </x:c>
      <x:c r="I50" s="29" t="n">
        <x:v>200</x:v>
      </x:c>
      <x:c r="J50" s="36" t="n">
        <x:v>0</x:v>
      </x:c>
    </x:row>
    <x:row r="51">
      <x:c r="A51" s="28" t="str">
        <x:v>Holze2023</x:v>
      </x:c>
      <x:c r="B51" s="29" t="str">
        <x:v>Holze 2023</x:v>
      </x:c>
      <x:c r="C51" s="29" t="str">
        <x:v>placebo_inactif</x:v>
      </x:c>
      <x:c r="D51" s="29" t="str">
        <x:v>LSD</x:v>
      </x:c>
      <x:c r="E51" s="29" t="n">
        <x:v>42</x:v>
      </x:c>
      <x:c r="F51" s="29" t="str">
        <x:v>Tumorprogression</x:v>
      </x:c>
      <x:c r="G51" s="29" t="str">
        <x:v>follow_up</x:v>
      </x:c>
      <x:c r="H51" s="34" t="n">
        <x:v>0.023809523809523808</x:v>
      </x:c>
      <x:c r="I51" s="29" t="n">
        <x:v>0</x:v>
      </x:c>
      <x:c r="J51" s="36" t="n">
        <x:v>1</x:v>
      </x:c>
    </x:row>
    <x:row r="52">
      <x:c r="A52" s="28" t="str">
        <x:v>Holze2023</x:v>
      </x:c>
      <x:c r="B52" s="29" t="str">
        <x:v>Holze 2023</x:v>
      </x:c>
      <x:c r="C52" s="29" t="str">
        <x:v>lsd_200ug</x:v>
      </x:c>
      <x:c r="D52" s="29" t="str">
        <x:v>LSD</x:v>
      </x:c>
      <x:c r="E52" s="29" t="n">
        <x:v>42</x:v>
      </x:c>
      <x:c r="F52" s="29" t="str">
        <x:v>Polyneuropathy</x:v>
      </x:c>
      <x:c r="G52" s="29" t="str">
        <x:v>session</x:v>
      </x:c>
      <x:c r="H52" s="34" t="n">
        <x:v>0</x:v>
      </x:c>
      <x:c r="I52" s="29" t="n">
        <x:v>200</x:v>
      </x:c>
      <x:c r="J52" s="36" t="n">
        <x:v>0</x:v>
      </x:c>
    </x:row>
    <x:row r="53">
      <x:c r="A53" s="28" t="str">
        <x:v>Holze2023</x:v>
      </x:c>
      <x:c r="B53" s="29" t="str">
        <x:v>Holze 2023</x:v>
      </x:c>
      <x:c r="C53" s="29" t="str">
        <x:v>placebo_inactif</x:v>
      </x:c>
      <x:c r="D53" s="29" t="str">
        <x:v>LSD</x:v>
      </x:c>
      <x:c r="E53" s="29" t="n">
        <x:v>42</x:v>
      </x:c>
      <x:c r="F53" s="29" t="str">
        <x:v>Polyneuropathy</x:v>
      </x:c>
      <x:c r="G53" s="29" t="str">
        <x:v>session</x:v>
      </x:c>
      <x:c r="H53" s="34" t="n">
        <x:v>0.023809523809523808</x:v>
      </x:c>
      <x:c r="I53" s="29" t="n">
        <x:v>0</x:v>
      </x:c>
      <x:c r="J53" s="36" t="n">
        <x:v>1</x:v>
      </x:c>
    </x:row>
    <x:row r="54">
      <x:c r="A54" s="28" t="str">
        <x:v>Holze2023</x:v>
      </x:c>
      <x:c r="B54" s="29" t="str">
        <x:v>Holze 2023</x:v>
      </x:c>
      <x:c r="C54" s="29" t="str">
        <x:v>lsd_200ug</x:v>
      </x:c>
      <x:c r="D54" s="29" t="str">
        <x:v>LSD</x:v>
      </x:c>
      <x:c r="E54" s="29" t="n">
        <x:v>42</x:v>
      </x:c>
      <x:c r="F54" s="29" t="str">
        <x:v>Polyneuropathy</x:v>
      </x:c>
      <x:c r="G54" s="29" t="str">
        <x:v>follow_up</x:v>
      </x:c>
      <x:c r="H54" s="34" t="n">
        <x:v>0</x:v>
      </x:c>
      <x:c r="I54" s="29" t="n">
        <x:v>200</x:v>
      </x:c>
      <x:c r="J54" s="36" t="n">
        <x:v>0</x:v>
      </x:c>
    </x:row>
    <x:row r="55">
      <x:c r="A55" s="28" t="str">
        <x:v>Holze2023</x:v>
      </x:c>
      <x:c r="B55" s="29" t="str">
        <x:v>Holze 2023</x:v>
      </x:c>
      <x:c r="C55" s="29" t="str">
        <x:v>placebo_inactif</x:v>
      </x:c>
      <x:c r="D55" s="29" t="str">
        <x:v>LSD</x:v>
      </x:c>
      <x:c r="E55" s="29" t="n">
        <x:v>42</x:v>
      </x:c>
      <x:c r="F55" s="29" t="str">
        <x:v>Polyneuropathy</x:v>
      </x:c>
      <x:c r="G55" s="29" t="str">
        <x:v>follow_up</x:v>
      </x:c>
      <x:c r="H55" s="34" t="n">
        <x:v>0</x:v>
      </x:c>
      <x:c r="I55" s="29" t="n">
        <x:v>0</x:v>
      </x:c>
      <x:c r="J55" s="36" t="n">
        <x:v>0</x:v>
      </x:c>
    </x:row>
    <x:row r="56">
      <x:c r="A56" s="28" t="str">
        <x:v>Holze2023</x:v>
      </x:c>
      <x:c r="B56" s="29" t="str">
        <x:v>Holze 2023</x:v>
      </x:c>
      <x:c r="C56" s="29" t="str">
        <x:v>lsd_200ug</x:v>
      </x:c>
      <x:c r="D56" s="29" t="str">
        <x:v>LSD</x:v>
      </x:c>
      <x:c r="E56" s="29" t="n">
        <x:v>42</x:v>
      </x:c>
      <x:c r="F56" s="29" t="str">
        <x:v>Hemoglobin decrease</x:v>
      </x:c>
      <x:c r="G56" s="29" t="str">
        <x:v>session</x:v>
      </x:c>
      <x:c r="H56" s="34" t="n">
        <x:v>0</x:v>
      </x:c>
      <x:c r="I56" s="29" t="n">
        <x:v>200</x:v>
      </x:c>
      <x:c r="J56" s="36" t="n">
        <x:v>0</x:v>
      </x:c>
    </x:row>
    <x:row r="57">
      <x:c r="A57" s="28" t="str">
        <x:v>Holze2023</x:v>
      </x:c>
      <x:c r="B57" s="29" t="str">
        <x:v>Holze 2023</x:v>
      </x:c>
      <x:c r="C57" s="29" t="str">
        <x:v>placebo_inactif</x:v>
      </x:c>
      <x:c r="D57" s="29" t="str">
        <x:v>LSD</x:v>
      </x:c>
      <x:c r="E57" s="29" t="n">
        <x:v>42</x:v>
      </x:c>
      <x:c r="F57" s="29" t="str">
        <x:v>Hemoglobin decrease</x:v>
      </x:c>
      <x:c r="G57" s="29" t="str">
        <x:v>session</x:v>
      </x:c>
      <x:c r="H57" s="34" t="n">
        <x:v>0</x:v>
      </x:c>
      <x:c r="I57" s="29" t="n">
        <x:v>0</x:v>
      </x:c>
      <x:c r="J57" s="36" t="n">
        <x:v>0</x:v>
      </x:c>
    </x:row>
    <x:row r="58">
      <x:c r="A58" s="28" t="str">
        <x:v>Holze2023</x:v>
      </x:c>
      <x:c r="B58" s="29" t="str">
        <x:v>Holze 2023</x:v>
      </x:c>
      <x:c r="C58" s="29" t="str">
        <x:v>lsd_200ug</x:v>
      </x:c>
      <x:c r="D58" s="29" t="str">
        <x:v>LSD</x:v>
      </x:c>
      <x:c r="E58" s="29" t="n">
        <x:v>42</x:v>
      </x:c>
      <x:c r="F58" s="29" t="str">
        <x:v>Hemoglobin decrease</x:v>
      </x:c>
      <x:c r="G58" s="29" t="str">
        <x:v>follow_up</x:v>
      </x:c>
      <x:c r="H58" s="34" t="n">
        <x:v>0.023809523809523808</x:v>
      </x:c>
      <x:c r="I58" s="29" t="n">
        <x:v>200</x:v>
      </x:c>
      <x:c r="J58" s="36" t="n">
        <x:v>1</x:v>
      </x:c>
    </x:row>
    <x:row r="59">
      <x:c r="A59" s="28" t="str">
        <x:v>Holze2023</x:v>
      </x:c>
      <x:c r="B59" s="29" t="str">
        <x:v>Holze 2023</x:v>
      </x:c>
      <x:c r="C59" s="29" t="str">
        <x:v>placebo_inactif</x:v>
      </x:c>
      <x:c r="D59" s="29" t="str">
        <x:v>LSD</x:v>
      </x:c>
      <x:c r="E59" s="29" t="n">
        <x:v>42</x:v>
      </x:c>
      <x:c r="F59" s="29" t="str">
        <x:v>Hemoglobin decrease</x:v>
      </x:c>
      <x:c r="G59" s="29" t="str">
        <x:v>follow_up</x:v>
      </x:c>
      <x:c r="H59" s="34" t="n">
        <x:v>0</x:v>
      </x:c>
      <x:c r="I59" s="29" t="n">
        <x:v>0</x:v>
      </x:c>
      <x:c r="J59" s="36" t="n">
        <x:v>0</x:v>
      </x:c>
    </x:row>
    <x:row r="60">
      <x:c r="A60" s="28" t="str">
        <x:v>Holze2023</x:v>
      </x:c>
      <x:c r="B60" s="29" t="str">
        <x:v>Holze 2023</x:v>
      </x:c>
      <x:c r="C60" s="29" t="str">
        <x:v>lsd_200ug</x:v>
      </x:c>
      <x:c r="D60" s="29" t="str">
        <x:v>LSD</x:v>
      </x:c>
      <x:c r="E60" s="29" t="n">
        <x:v>42</x:v>
      </x:c>
      <x:c r="F60" s="29" t="str">
        <x:v>Alopecia</x:v>
      </x:c>
      <x:c r="G60" s="29" t="str">
        <x:v>session</x:v>
      </x:c>
      <x:c r="H60" s="34" t="n">
        <x:v>0</x:v>
      </x:c>
      <x:c r="I60" s="29" t="n">
        <x:v>200</x:v>
      </x:c>
      <x:c r="J60" s="36" t="n">
        <x:v>0</x:v>
      </x:c>
    </x:row>
    <x:row r="61">
      <x:c r="A61" s="28" t="str">
        <x:v>Holze2023</x:v>
      </x:c>
      <x:c r="B61" s="29" t="str">
        <x:v>Holze 2023</x:v>
      </x:c>
      <x:c r="C61" s="29" t="str">
        <x:v>placebo_inactif</x:v>
      </x:c>
      <x:c r="D61" s="29" t="str">
        <x:v>LSD</x:v>
      </x:c>
      <x:c r="E61" s="29" t="n">
        <x:v>42</x:v>
      </x:c>
      <x:c r="F61" s="29" t="str">
        <x:v>Alopecia</x:v>
      </x:c>
      <x:c r="G61" s="29" t="str">
        <x:v>session</x:v>
      </x:c>
      <x:c r="H61" s="34" t="n">
        <x:v>0.023809523809523808</x:v>
      </x:c>
      <x:c r="I61" s="29" t="n">
        <x:v>0</x:v>
      </x:c>
      <x:c r="J61" s="36" t="n">
        <x:v>1</x:v>
      </x:c>
    </x:row>
    <x:row r="62">
      <x:c r="A62" s="28" t="str">
        <x:v>Holze2023</x:v>
      </x:c>
      <x:c r="B62" s="29" t="str">
        <x:v>Holze 2023</x:v>
      </x:c>
      <x:c r="C62" s="29" t="str">
        <x:v>lsd_200ug</x:v>
      </x:c>
      <x:c r="D62" s="29" t="str">
        <x:v>LSD</x:v>
      </x:c>
      <x:c r="E62" s="29" t="n">
        <x:v>42</x:v>
      </x:c>
      <x:c r="F62" s="29" t="str">
        <x:v>Alopecia</x:v>
      </x:c>
      <x:c r="G62" s="29" t="str">
        <x:v>follow_up</x:v>
      </x:c>
      <x:c r="H62" s="34" t="n">
        <x:v>0</x:v>
      </x:c>
      <x:c r="I62" s="29" t="n">
        <x:v>200</x:v>
      </x:c>
      <x:c r="J62" s="36" t="n">
        <x:v>0</x:v>
      </x:c>
    </x:row>
    <x:row r="63">
      <x:c r="A63" s="28" t="str">
        <x:v>Holze2023</x:v>
      </x:c>
      <x:c r="B63" s="29" t="str">
        <x:v>Holze 2023</x:v>
      </x:c>
      <x:c r="C63" s="29" t="str">
        <x:v>placebo_inactif</x:v>
      </x:c>
      <x:c r="D63" s="29" t="str">
        <x:v>LSD</x:v>
      </x:c>
      <x:c r="E63" s="29" t="n">
        <x:v>42</x:v>
      </x:c>
      <x:c r="F63" s="29" t="str">
        <x:v>Alopecia</x:v>
      </x:c>
      <x:c r="G63" s="29" t="str">
        <x:v>follow_up</x:v>
      </x:c>
      <x:c r="H63" s="34" t="n">
        <x:v>0</x:v>
      </x:c>
      <x:c r="I63" s="29" t="n">
        <x:v>0</x:v>
      </x:c>
      <x:c r="J63" s="36" t="n">
        <x:v>0</x:v>
      </x:c>
    </x:row>
    <x:row r="64">
      <x:c r="A64" s="28" t="str">
        <x:v>Holze2023</x:v>
      </x:c>
      <x:c r="B64" s="29" t="str">
        <x:v>Holze 2023</x:v>
      </x:c>
      <x:c r="C64" s="29" t="str">
        <x:v>lsd_200ug</x:v>
      </x:c>
      <x:c r="D64" s="29" t="str">
        <x:v>LSD</x:v>
      </x:c>
      <x:c r="E64" s="29" t="n">
        <x:v>42</x:v>
      </x:c>
      <x:c r="F64" s="29" t="str">
        <x:v>Gynecomastia</x:v>
      </x:c>
      <x:c r="G64" s="29" t="str">
        <x:v>session</x:v>
      </x:c>
      <x:c r="H64" s="34" t="n">
        <x:v>0.023809523809523808</x:v>
      </x:c>
      <x:c r="I64" s="29" t="n">
        <x:v>200</x:v>
      </x:c>
      <x:c r="J64" s="36" t="n">
        <x:v>1</x:v>
      </x:c>
    </x:row>
    <x:row r="65">
      <x:c r="A65" s="28" t="str">
        <x:v>Holze2023</x:v>
      </x:c>
      <x:c r="B65" s="29" t="str">
        <x:v>Holze 2023</x:v>
      </x:c>
      <x:c r="C65" s="29" t="str">
        <x:v>placebo_inactif</x:v>
      </x:c>
      <x:c r="D65" s="29" t="str">
        <x:v>LSD</x:v>
      </x:c>
      <x:c r="E65" s="29" t="n">
        <x:v>42</x:v>
      </x:c>
      <x:c r="F65" s="29" t="str">
        <x:v>Gynecomastia</x:v>
      </x:c>
      <x:c r="G65" s="29" t="str">
        <x:v>session</x:v>
      </x:c>
      <x:c r="H65" s="34" t="n">
        <x:v>0</x:v>
      </x:c>
      <x:c r="I65" s="29" t="n">
        <x:v>0</x:v>
      </x:c>
      <x:c r="J65" s="36" t="n">
        <x:v>0</x:v>
      </x:c>
    </x:row>
    <x:row r="66">
      <x:c r="A66" s="28" t="str">
        <x:v>Holze2023</x:v>
      </x:c>
      <x:c r="B66" s="29" t="str">
        <x:v>Holze 2023</x:v>
      </x:c>
      <x:c r="C66" s="29" t="str">
        <x:v>lsd_200ug</x:v>
      </x:c>
      <x:c r="D66" s="29" t="str">
        <x:v>LSD</x:v>
      </x:c>
      <x:c r="E66" s="29" t="n">
        <x:v>42</x:v>
      </x:c>
      <x:c r="F66" s="29" t="str">
        <x:v>Gynecomastia</x:v>
      </x:c>
      <x:c r="G66" s="29" t="str">
        <x:v>follow_up</x:v>
      </x:c>
      <x:c r="H66" s="34" t="n">
        <x:v>0</x:v>
      </x:c>
      <x:c r="I66" s="29" t="n">
        <x:v>200</x:v>
      </x:c>
      <x:c r="J66" s="36" t="n">
        <x:v>0</x:v>
      </x:c>
    </x:row>
    <x:row r="67">
      <x:c r="A67" s="28" t="str">
        <x:v>Holze2023</x:v>
      </x:c>
      <x:c r="B67" s="29" t="str">
        <x:v>Holze 2023</x:v>
      </x:c>
      <x:c r="C67" s="29" t="str">
        <x:v>placebo_inactif</x:v>
      </x:c>
      <x:c r="D67" s="29" t="str">
        <x:v>LSD</x:v>
      </x:c>
      <x:c r="E67" s="29" t="n">
        <x:v>42</x:v>
      </x:c>
      <x:c r="F67" s="29" t="str">
        <x:v>Gynecomastia</x:v>
      </x:c>
      <x:c r="G67" s="29" t="str">
        <x:v>follow_up</x:v>
      </x:c>
      <x:c r="H67" s="34" t="n">
        <x:v>0</x:v>
      </x:c>
      <x:c r="I67" s="29" t="n">
        <x:v>0</x:v>
      </x:c>
      <x:c r="J67" s="36" t="n">
        <x:v>0</x:v>
      </x:c>
    </x:row>
    <x:row r="68">
      <x:c r="A68" s="28" t="str">
        <x:v>Holze2023</x:v>
      </x:c>
      <x:c r="B68" s="29" t="str">
        <x:v>Holze 2023</x:v>
      </x:c>
      <x:c r="C68" s="29" t="str">
        <x:v>lsd_200ug</x:v>
      </x:c>
      <x:c r="D68" s="29" t="str">
        <x:v>LSD</x:v>
      </x:c>
      <x:c r="E68" s="29" t="n">
        <x:v>42</x:v>
      </x:c>
      <x:c r="F68" s="29" t="str">
        <x:v>Hand-foot syndrome</x:v>
      </x:c>
      <x:c r="G68" s="29" t="str">
        <x:v>session</x:v>
      </x:c>
      <x:c r="H68" s="34" t="n">
        <x:v>0.023809523809523808</x:v>
      </x:c>
      <x:c r="I68" s="29" t="n">
        <x:v>200</x:v>
      </x:c>
      <x:c r="J68" s="36" t="n">
        <x:v>1</x:v>
      </x:c>
    </x:row>
    <x:row r="69">
      <x:c r="A69" s="28" t="str">
        <x:v>Holze2023</x:v>
      </x:c>
      <x:c r="B69" s="29" t="str">
        <x:v>Holze 2023</x:v>
      </x:c>
      <x:c r="C69" s="29" t="str">
        <x:v>placebo_inactif</x:v>
      </x:c>
      <x:c r="D69" s="29" t="str">
        <x:v>LSD</x:v>
      </x:c>
      <x:c r="E69" s="29" t="n">
        <x:v>42</x:v>
      </x:c>
      <x:c r="F69" s="29" t="str">
        <x:v>Hand-foot syndrome</x:v>
      </x:c>
      <x:c r="G69" s="29" t="str">
        <x:v>session</x:v>
      </x:c>
      <x:c r="H69" s="34" t="n">
        <x:v>0</x:v>
      </x:c>
      <x:c r="I69" s="29" t="n">
        <x:v>0</x:v>
      </x:c>
      <x:c r="J69" s="36" t="n">
        <x:v>0</x:v>
      </x:c>
    </x:row>
    <x:row r="70">
      <x:c r="A70" s="28" t="str">
        <x:v>Holze2023</x:v>
      </x:c>
      <x:c r="B70" s="29" t="str">
        <x:v>Holze 2023</x:v>
      </x:c>
      <x:c r="C70" s="29" t="str">
        <x:v>lsd_200ug</x:v>
      </x:c>
      <x:c r="D70" s="29" t="str">
        <x:v>LSD</x:v>
      </x:c>
      <x:c r="E70" s="29" t="n">
        <x:v>42</x:v>
      </x:c>
      <x:c r="F70" s="29" t="str">
        <x:v>Hand-foot syndrome</x:v>
      </x:c>
      <x:c r="G70" s="29" t="str">
        <x:v>follow_up</x:v>
      </x:c>
      <x:c r="H70" s="34" t="n">
        <x:v>0</x:v>
      </x:c>
      <x:c r="I70" s="29" t="n">
        <x:v>200</x:v>
      </x:c>
      <x:c r="J70" s="36" t="n">
        <x:v>0</x:v>
      </x:c>
    </x:row>
    <x:row r="71">
      <x:c r="A71" s="28" t="str">
        <x:v>Holze2023</x:v>
      </x:c>
      <x:c r="B71" s="29" t="str">
        <x:v>Holze 2023</x:v>
      </x:c>
      <x:c r="C71" s="29" t="str">
        <x:v>placebo_inactif</x:v>
      </x:c>
      <x:c r="D71" s="29" t="str">
        <x:v>LSD</x:v>
      </x:c>
      <x:c r="E71" s="29" t="n">
        <x:v>42</x:v>
      </x:c>
      <x:c r="F71" s="29" t="str">
        <x:v>Hand-foot syndrome</x:v>
      </x:c>
      <x:c r="G71" s="29" t="str">
        <x:v>follow_up</x:v>
      </x:c>
      <x:c r="H71" s="34" t="n">
        <x:v>0</x:v>
      </x:c>
      <x:c r="I71" s="29" t="n">
        <x:v>0</x:v>
      </x:c>
      <x:c r="J71" s="36" t="n">
        <x:v>0</x:v>
      </x:c>
    </x:row>
    <x:row r="72">
      <x:c r="A72" s="28" t="str">
        <x:v>Holze2023</x:v>
      </x:c>
      <x:c r="B72" s="29" t="str">
        <x:v>Holze 2023</x:v>
      </x:c>
      <x:c r="C72" s="29" t="str">
        <x:v>lsd_200ug</x:v>
      </x:c>
      <x:c r="D72" s="29" t="str">
        <x:v>LSD</x:v>
      </x:c>
      <x:c r="E72" s="29" t="n">
        <x:v>42</x:v>
      </x:c>
      <x:c r="F72" s="29" t="str">
        <x:v>Fatigue</x:v>
      </x:c>
      <x:c r="G72" s="29" t="str">
        <x:v>session</x:v>
      </x:c>
      <x:c r="H72" s="34" t="n">
        <x:v>0.3333333333333333</x:v>
      </x:c>
      <x:c r="I72" s="29" t="n">
        <x:v>200</x:v>
      </x:c>
      <x:c r="J72" s="36" t="n">
        <x:v>14</x:v>
      </x:c>
    </x:row>
    <x:row r="73">
      <x:c r="A73" s="28" t="str">
        <x:v>Holze2023</x:v>
      </x:c>
      <x:c r="B73" s="29" t="str">
        <x:v>Holze 2023</x:v>
      </x:c>
      <x:c r="C73" s="29" t="str">
        <x:v>placebo_inactif</x:v>
      </x:c>
      <x:c r="D73" s="29" t="str">
        <x:v>LSD</x:v>
      </x:c>
      <x:c r="E73" s="29" t="n">
        <x:v>42</x:v>
      </x:c>
      <x:c r="F73" s="29" t="str">
        <x:v>Fatigue</x:v>
      </x:c>
      <x:c r="G73" s="29" t="str">
        <x:v>session</x:v>
      </x:c>
      <x:c r="H73" s="34" t="n">
        <x:v>0.2619047619047619</x:v>
      </x:c>
      <x:c r="I73" s="29" t="n">
        <x:v>0</x:v>
      </x:c>
      <x:c r="J73" s="36" t="n">
        <x:v>11</x:v>
      </x:c>
    </x:row>
    <x:row r="74">
      <x:c r="A74" s="28" t="str">
        <x:v>Holze2023</x:v>
      </x:c>
      <x:c r="B74" s="29" t="str">
        <x:v>Holze 2023</x:v>
      </x:c>
      <x:c r="C74" s="29" t="str">
        <x:v>lsd_200ug</x:v>
      </x:c>
      <x:c r="D74" s="29" t="str">
        <x:v>LSD</x:v>
      </x:c>
      <x:c r="E74" s="29" t="n">
        <x:v>42</x:v>
      </x:c>
      <x:c r="F74" s="29" t="str">
        <x:v>Fatigue</x:v>
      </x:c>
      <x:c r="G74" s="29" t="str">
        <x:v>follow_up</x:v>
      </x:c>
      <x:c r="H74" s="34" t="n">
        <x:v>0.21428571428571427</x:v>
      </x:c>
      <x:c r="I74" s="29" t="n">
        <x:v>200</x:v>
      </x:c>
      <x:c r="J74" s="36" t="n">
        <x:v>9</x:v>
      </x:c>
    </x:row>
    <x:row r="75">
      <x:c r="A75" s="28" t="str">
        <x:v>Holze2023</x:v>
      </x:c>
      <x:c r="B75" s="29" t="str">
        <x:v>Holze 2023</x:v>
      </x:c>
      <x:c r="C75" s="29" t="str">
        <x:v>placebo_inactif</x:v>
      </x:c>
      <x:c r="D75" s="29" t="str">
        <x:v>LSD</x:v>
      </x:c>
      <x:c r="E75" s="29" t="n">
        <x:v>42</x:v>
      </x:c>
      <x:c r="F75" s="29" t="str">
        <x:v>Fatigue</x:v>
      </x:c>
      <x:c r="G75" s="29" t="str">
        <x:v>follow_up</x:v>
      </x:c>
      <x:c r="H75" s="34" t="n">
        <x:v>0.2619047619047619</x:v>
      </x:c>
      <x:c r="I75" s="29" t="n">
        <x:v>0</x:v>
      </x:c>
      <x:c r="J75" s="36" t="n">
        <x:v>11</x:v>
      </x:c>
    </x:row>
    <x:row r="76">
      <x:c r="A76" s="28" t="str">
        <x:v>Holze2023</x:v>
      </x:c>
      <x:c r="B76" s="29" t="str">
        <x:v>Holze 2023</x:v>
      </x:c>
      <x:c r="C76" s="29" t="str">
        <x:v>lsd_200ug</x:v>
      </x:c>
      <x:c r="D76" s="29" t="str">
        <x:v>LSD</x:v>
      </x:c>
      <x:c r="E76" s="29" t="n">
        <x:v>42</x:v>
      </x:c>
      <x:c r="F76" s="29" t="str">
        <x:v>Headache</x:v>
      </x:c>
      <x:c r="G76" s="29" t="str">
        <x:v>session</x:v>
      </x:c>
      <x:c r="H76" s="34" t="n">
        <x:v>0.19047619047619047</x:v>
      </x:c>
      <x:c r="I76" s="29" t="n">
        <x:v>200</x:v>
      </x:c>
      <x:c r="J76" s="36" t="n">
        <x:v>8</x:v>
      </x:c>
    </x:row>
    <x:row r="77">
      <x:c r="A77" s="28" t="str">
        <x:v>Holze2023</x:v>
      </x:c>
      <x:c r="B77" s="29" t="str">
        <x:v>Holze 2023</x:v>
      </x:c>
      <x:c r="C77" s="29" t="str">
        <x:v>placebo_inactif</x:v>
      </x:c>
      <x:c r="D77" s="29" t="str">
        <x:v>LSD</x:v>
      </x:c>
      <x:c r="E77" s="29" t="n">
        <x:v>42</x:v>
      </x:c>
      <x:c r="F77" s="29" t="str">
        <x:v>Headache</x:v>
      </x:c>
      <x:c r="G77" s="29" t="str">
        <x:v>session</x:v>
      </x:c>
      <x:c r="H77" s="34" t="n">
        <x:v>0.2857142857142857</x:v>
      </x:c>
      <x:c r="I77" s="29" t="n">
        <x:v>0</x:v>
      </x:c>
      <x:c r="J77" s="36" t="n">
        <x:v>12</x:v>
      </x:c>
    </x:row>
    <x:row r="78">
      <x:c r="A78" s="28" t="str">
        <x:v>Holze2023</x:v>
      </x:c>
      <x:c r="B78" s="29" t="str">
        <x:v>Holze 2023</x:v>
      </x:c>
      <x:c r="C78" s="29" t="str">
        <x:v>lsd_200ug</x:v>
      </x:c>
      <x:c r="D78" s="29" t="str">
        <x:v>LSD</x:v>
      </x:c>
      <x:c r="E78" s="29" t="n">
        <x:v>42</x:v>
      </x:c>
      <x:c r="F78" s="29" t="str">
        <x:v>Headache</x:v>
      </x:c>
      <x:c r="G78" s="29" t="str">
        <x:v>follow_up</x:v>
      </x:c>
      <x:c r="H78" s="34" t="n">
        <x:v>0.16666666666666666</x:v>
      </x:c>
      <x:c r="I78" s="29" t="n">
        <x:v>200</x:v>
      </x:c>
      <x:c r="J78" s="36" t="n">
        <x:v>7</x:v>
      </x:c>
    </x:row>
    <x:row r="79">
      <x:c r="A79" s="28" t="str">
        <x:v>Holze2023</x:v>
      </x:c>
      <x:c r="B79" s="29" t="str">
        <x:v>Holze 2023</x:v>
      </x:c>
      <x:c r="C79" s="29" t="str">
        <x:v>placebo_inactif</x:v>
      </x:c>
      <x:c r="D79" s="29" t="str">
        <x:v>LSD</x:v>
      </x:c>
      <x:c r="E79" s="29" t="n">
        <x:v>42</x:v>
      </x:c>
      <x:c r="F79" s="29" t="str">
        <x:v>Headache</x:v>
      </x:c>
      <x:c r="G79" s="29" t="str">
        <x:v>follow_up</x:v>
      </x:c>
      <x:c r="H79" s="34" t="n">
        <x:v>0.30952380952380953</x:v>
      </x:c>
      <x:c r="I79" s="29" t="n">
        <x:v>0</x:v>
      </x:c>
      <x:c r="J79" s="36" t="n">
        <x:v>13</x:v>
      </x:c>
    </x:row>
    <x:row r="80">
      <x:c r="A80" s="28" t="str">
        <x:v>Holze2023</x:v>
      </x:c>
      <x:c r="B80" s="29" t="str">
        <x:v>Holze 2023</x:v>
      </x:c>
      <x:c r="C80" s="29" t="str">
        <x:v>lsd_200ug</x:v>
      </x:c>
      <x:c r="D80" s="29" t="str">
        <x:v>LSD</x:v>
      </x:c>
      <x:c r="E80" s="29" t="n">
        <x:v>42</x:v>
      </x:c>
      <x:c r="F80" s="29" t="str">
        <x:v>Difficulty to concentrate</x:v>
      </x:c>
      <x:c r="G80" s="29" t="str">
        <x:v>session</x:v>
      </x:c>
      <x:c r="H80" s="34" t="n">
        <x:v>0.16666666666666666</x:v>
      </x:c>
      <x:c r="I80" s="29" t="n">
        <x:v>200</x:v>
      </x:c>
      <x:c r="J80" s="36" t="n">
        <x:v>7</x:v>
      </x:c>
    </x:row>
    <x:row r="81">
      <x:c r="A81" s="28" t="str">
        <x:v>Holze2023</x:v>
      </x:c>
      <x:c r="B81" s="29" t="str">
        <x:v>Holze 2023</x:v>
      </x:c>
      <x:c r="C81" s="29" t="str">
        <x:v>placebo_inactif</x:v>
      </x:c>
      <x:c r="D81" s="29" t="str">
        <x:v>LSD</x:v>
      </x:c>
      <x:c r="E81" s="29" t="n">
        <x:v>42</x:v>
      </x:c>
      <x:c r="F81" s="29" t="str">
        <x:v>Difficulty to concentrate</x:v>
      </x:c>
      <x:c r="G81" s="29" t="str">
        <x:v>session</x:v>
      </x:c>
      <x:c r="H81" s="34" t="n">
        <x:v>0.16666666666666666</x:v>
      </x:c>
      <x:c r="I81" s="29" t="n">
        <x:v>0</x:v>
      </x:c>
      <x:c r="J81" s="36" t="n">
        <x:v>7</x:v>
      </x:c>
    </x:row>
    <x:row r="82">
      <x:c r="A82" s="28" t="str">
        <x:v>Holze2023</x:v>
      </x:c>
      <x:c r="B82" s="29" t="str">
        <x:v>Holze 2023</x:v>
      </x:c>
      <x:c r="C82" s="29" t="str">
        <x:v>lsd_200ug</x:v>
      </x:c>
      <x:c r="D82" s="29" t="str">
        <x:v>LSD</x:v>
      </x:c>
      <x:c r="E82" s="29" t="n">
        <x:v>42</x:v>
      </x:c>
      <x:c r="F82" s="29" t="str">
        <x:v>Difficulty to concentrate</x:v>
      </x:c>
      <x:c r="G82" s="29" t="str">
        <x:v>follow_up</x:v>
      </x:c>
      <x:c r="H82" s="34" t="n">
        <x:v>0.09523809523809523</x:v>
      </x:c>
      <x:c r="I82" s="29" t="n">
        <x:v>200</x:v>
      </x:c>
      <x:c r="J82" s="36" t="n">
        <x:v>4</x:v>
      </x:c>
    </x:row>
    <x:row r="83">
      <x:c r="A83" s="28" t="str">
        <x:v>Holze2023</x:v>
      </x:c>
      <x:c r="B83" s="29" t="str">
        <x:v>Holze 2023</x:v>
      </x:c>
      <x:c r="C83" s="29" t="str">
        <x:v>placebo_inactif</x:v>
      </x:c>
      <x:c r="D83" s="29" t="str">
        <x:v>LSD</x:v>
      </x:c>
      <x:c r="E83" s="29" t="n">
        <x:v>42</x:v>
      </x:c>
      <x:c r="F83" s="29" t="str">
        <x:v>Difficulty to concentrate</x:v>
      </x:c>
      <x:c r="G83" s="29" t="str">
        <x:v>follow_up</x:v>
      </x:c>
      <x:c r="H83" s="34" t="n">
        <x:v>0.11904761904761904</x:v>
      </x:c>
      <x:c r="I83" s="29" t="n">
        <x:v>0</x:v>
      </x:c>
      <x:c r="J83" s="36" t="n">
        <x:v>5</x:v>
      </x:c>
    </x:row>
    <x:row r="84">
      <x:c r="A84" s="28" t="str">
        <x:v>Holze2023</x:v>
      </x:c>
      <x:c r="B84" s="29" t="str">
        <x:v>Holze 2023</x:v>
      </x:c>
      <x:c r="C84" s="29" t="str">
        <x:v>lsd_200ug</x:v>
      </x:c>
      <x:c r="D84" s="29" t="str">
        <x:v>LSD</x:v>
      </x:c>
      <x:c r="E84" s="29" t="n">
        <x:v>42</x:v>
      </x:c>
      <x:c r="F84" s="29" t="str">
        <x:v>Nausea</x:v>
      </x:c>
      <x:c r="G84" s="29" t="str">
        <x:v>session</x:v>
      </x:c>
      <x:c r="H84" s="34" t="n">
        <x:v>0.09523809523809523</x:v>
      </x:c>
      <x:c r="I84" s="29" t="n">
        <x:v>200</x:v>
      </x:c>
      <x:c r="J84" s="36" t="n">
        <x:v>4</x:v>
      </x:c>
    </x:row>
    <x:row r="85">
      <x:c r="A85" s="28" t="str">
        <x:v>Holze2023</x:v>
      </x:c>
      <x:c r="B85" s="29" t="str">
        <x:v>Holze 2023</x:v>
      </x:c>
      <x:c r="C85" s="29" t="str">
        <x:v>placebo_inactif</x:v>
      </x:c>
      <x:c r="D85" s="29" t="str">
        <x:v>LSD</x:v>
      </x:c>
      <x:c r="E85" s="29" t="n">
        <x:v>42</x:v>
      </x:c>
      <x:c r="F85" s="29" t="str">
        <x:v>Nausea</x:v>
      </x:c>
      <x:c r="G85" s="29" t="str">
        <x:v>session</x:v>
      </x:c>
      <x:c r="H85" s="34" t="n">
        <x:v>0.14285714285714285</x:v>
      </x:c>
      <x:c r="I85" s="29" t="n">
        <x:v>0</x:v>
      </x:c>
      <x:c r="J85" s="36" t="n">
        <x:v>6</x:v>
      </x:c>
    </x:row>
    <x:row r="86">
      <x:c r="A86" s="28" t="str">
        <x:v>Holze2023</x:v>
      </x:c>
      <x:c r="B86" s="29" t="str">
        <x:v>Holze 2023</x:v>
      </x:c>
      <x:c r="C86" s="29" t="str">
        <x:v>lsd_200ug</x:v>
      </x:c>
      <x:c r="D86" s="29" t="str">
        <x:v>LSD</x:v>
      </x:c>
      <x:c r="E86" s="29" t="n">
        <x:v>42</x:v>
      </x:c>
      <x:c r="F86" s="29" t="str">
        <x:v>Nausea</x:v>
      </x:c>
      <x:c r="G86" s="29" t="str">
        <x:v>follow_up</x:v>
      </x:c>
      <x:c r="H86" s="34" t="n">
        <x:v>0.09523809523809523</x:v>
      </x:c>
      <x:c r="I86" s="29" t="n">
        <x:v>200</x:v>
      </x:c>
      <x:c r="J86" s="36" t="n">
        <x:v>4</x:v>
      </x:c>
    </x:row>
    <x:row r="87">
      <x:c r="A87" s="28" t="str">
        <x:v>Holze2023</x:v>
      </x:c>
      <x:c r="B87" s="29" t="str">
        <x:v>Holze 2023</x:v>
      </x:c>
      <x:c r="C87" s="29" t="str">
        <x:v>placebo_inactif</x:v>
      </x:c>
      <x:c r="D87" s="29" t="str">
        <x:v>LSD</x:v>
      </x:c>
      <x:c r="E87" s="29" t="n">
        <x:v>42</x:v>
      </x:c>
      <x:c r="F87" s="29" t="str">
        <x:v>Nausea</x:v>
      </x:c>
      <x:c r="G87" s="29" t="str">
        <x:v>follow_up</x:v>
      </x:c>
      <x:c r="H87" s="34" t="n">
        <x:v>0.14285714285714285</x:v>
      </x:c>
      <x:c r="I87" s="29" t="n">
        <x:v>0</x:v>
      </x:c>
      <x:c r="J87" s="36" t="n">
        <x:v>6</x:v>
      </x:c>
    </x:row>
    <x:row r="88">
      <x:c r="A88" s="28" t="str">
        <x:v>Holze2023</x:v>
      </x:c>
      <x:c r="B88" s="29" t="str">
        <x:v>Holze 2023</x:v>
      </x:c>
      <x:c r="C88" s="29" t="str">
        <x:v>lsd_200ug</x:v>
      </x:c>
      <x:c r="D88" s="29" t="str">
        <x:v>LSD</x:v>
      </x:c>
      <x:c r="E88" s="29" t="n">
        <x:v>42</x:v>
      </x:c>
      <x:c r="F88" s="29" t="str">
        <x:v>Dizziness</x:v>
      </x:c>
      <x:c r="G88" s="29" t="str">
        <x:v>session</x:v>
      </x:c>
      <x:c r="H88" s="34" t="n">
        <x:v>0.14285714285714285</x:v>
      </x:c>
      <x:c r="I88" s="29" t="n">
        <x:v>200</x:v>
      </x:c>
      <x:c r="J88" s="36" t="n">
        <x:v>6</x:v>
      </x:c>
    </x:row>
    <x:row r="89">
      <x:c r="A89" s="28" t="str">
        <x:v>Holze2023</x:v>
      </x:c>
      <x:c r="B89" s="29" t="str">
        <x:v>Holze 2023</x:v>
      </x:c>
      <x:c r="C89" s="29" t="str">
        <x:v>placebo_inactif</x:v>
      </x:c>
      <x:c r="D89" s="29" t="str">
        <x:v>LSD</x:v>
      </x:c>
      <x:c r="E89" s="29" t="n">
        <x:v>42</x:v>
      </x:c>
      <x:c r="F89" s="29" t="str">
        <x:v>Dizziness</x:v>
      </x:c>
      <x:c r="G89" s="29" t="str">
        <x:v>session</x:v>
      </x:c>
      <x:c r="H89" s="34" t="n">
        <x:v>0.07142857142857142</x:v>
      </x:c>
      <x:c r="I89" s="29" t="n">
        <x:v>0</x:v>
      </x:c>
      <x:c r="J89" s="36" t="n">
        <x:v>3</x:v>
      </x:c>
    </x:row>
    <x:row r="90">
      <x:c r="A90" s="28" t="str">
        <x:v>Holze2023</x:v>
      </x:c>
      <x:c r="B90" s="29" t="str">
        <x:v>Holze 2023</x:v>
      </x:c>
      <x:c r="C90" s="29" t="str">
        <x:v>lsd_200ug</x:v>
      </x:c>
      <x:c r="D90" s="29" t="str">
        <x:v>LSD</x:v>
      </x:c>
      <x:c r="E90" s="29" t="n">
        <x:v>42</x:v>
      </x:c>
      <x:c r="F90" s="29" t="str">
        <x:v>Dizziness</x:v>
      </x:c>
      <x:c r="G90" s="29" t="str">
        <x:v>follow_up</x:v>
      </x:c>
      <x:c r="H90" s="34" t="n">
        <x:v>0.07142857142857142</x:v>
      </x:c>
      <x:c r="I90" s="29" t="n">
        <x:v>200</x:v>
      </x:c>
      <x:c r="J90" s="36" t="n">
        <x:v>3</x:v>
      </x:c>
    </x:row>
    <x:row r="91">
      <x:c r="A91" s="28" t="str">
        <x:v>Holze2023</x:v>
      </x:c>
      <x:c r="B91" s="29" t="str">
        <x:v>Holze 2023</x:v>
      </x:c>
      <x:c r="C91" s="29" t="str">
        <x:v>placebo_inactif</x:v>
      </x:c>
      <x:c r="D91" s="29" t="str">
        <x:v>LSD</x:v>
      </x:c>
      <x:c r="E91" s="29" t="n">
        <x:v>42</x:v>
      </x:c>
      <x:c r="F91" s="29" t="str">
        <x:v>Dizziness</x:v>
      </x:c>
      <x:c r="G91" s="29" t="str">
        <x:v>follow_up</x:v>
      </x:c>
      <x:c r="H91" s="34" t="n">
        <x:v>0.14285714285714285</x:v>
      </x:c>
      <x:c r="I91" s="29" t="n">
        <x:v>0</x:v>
      </x:c>
      <x:c r="J91" s="36" t="n">
        <x:v>6</x:v>
      </x:c>
    </x:row>
    <x:row r="92">
      <x:c r="A92" s="28" t="str">
        <x:v>Holze2023</x:v>
      </x:c>
      <x:c r="B92" s="29" t="str">
        <x:v>Holze 2023</x:v>
      </x:c>
      <x:c r="C92" s="29" t="str">
        <x:v>lsd_200ug</x:v>
      </x:c>
      <x:c r="D92" s="29" t="str">
        <x:v>LSD</x:v>
      </x:c>
      <x:c r="E92" s="29" t="n">
        <x:v>42</x:v>
      </x:c>
      <x:c r="F92" s="29" t="str">
        <x:v>Common cold</x:v>
      </x:c>
      <x:c r="G92" s="29" t="str">
        <x:v>session</x:v>
      </x:c>
      <x:c r="H92" s="34" t="n">
        <x:v>0.14285714285714285</x:v>
      </x:c>
      <x:c r="I92" s="29" t="n">
        <x:v>200</x:v>
      </x:c>
      <x:c r="J92" s="36" t="n">
        <x:v>6</x:v>
      </x:c>
    </x:row>
    <x:row r="93">
      <x:c r="A93" s="28" t="str">
        <x:v>Holze2023</x:v>
      </x:c>
      <x:c r="B93" s="29" t="str">
        <x:v>Holze 2023</x:v>
      </x:c>
      <x:c r="C93" s="29" t="str">
        <x:v>placebo_inactif</x:v>
      </x:c>
      <x:c r="D93" s="29" t="str">
        <x:v>LSD</x:v>
      </x:c>
      <x:c r="E93" s="29" t="n">
        <x:v>42</x:v>
      </x:c>
      <x:c r="F93" s="29" t="str">
        <x:v>Common cold</x:v>
      </x:c>
      <x:c r="G93" s="29" t="str">
        <x:v>session</x:v>
      </x:c>
      <x:c r="H93" s="34" t="n">
        <x:v>0.07142857142857142</x:v>
      </x:c>
      <x:c r="I93" s="29" t="n">
        <x:v>0</x:v>
      </x:c>
      <x:c r="J93" s="36" t="n">
        <x:v>3</x:v>
      </x:c>
    </x:row>
    <x:row r="94">
      <x:c r="A94" s="28" t="str">
        <x:v>Holze2023</x:v>
      </x:c>
      <x:c r="B94" s="29" t="str">
        <x:v>Holze 2023</x:v>
      </x:c>
      <x:c r="C94" s="29" t="str">
        <x:v>lsd_200ug</x:v>
      </x:c>
      <x:c r="D94" s="29" t="str">
        <x:v>LSD</x:v>
      </x:c>
      <x:c r="E94" s="29" t="n">
        <x:v>42</x:v>
      </x:c>
      <x:c r="F94" s="29" t="str">
        <x:v>Common cold</x:v>
      </x:c>
      <x:c r="G94" s="29" t="str">
        <x:v>follow_up</x:v>
      </x:c>
      <x:c r="H94" s="34" t="n">
        <x:v>0.047619047619047616</x:v>
      </x:c>
      <x:c r="I94" s="29" t="n">
        <x:v>200</x:v>
      </x:c>
      <x:c r="J94" s="36" t="n">
        <x:v>2</x:v>
      </x:c>
    </x:row>
    <x:row r="95">
      <x:c r="A95" s="28" t="str">
        <x:v>Holze2023</x:v>
      </x:c>
      <x:c r="B95" s="29" t="str">
        <x:v>Holze 2023</x:v>
      </x:c>
      <x:c r="C95" s="29" t="str">
        <x:v>placebo_inactif</x:v>
      </x:c>
      <x:c r="D95" s="29" t="str">
        <x:v>LSD</x:v>
      </x:c>
      <x:c r="E95" s="29" t="n">
        <x:v>42</x:v>
      </x:c>
      <x:c r="F95" s="29" t="str">
        <x:v>Common cold</x:v>
      </x:c>
      <x:c r="G95" s="29" t="str">
        <x:v>follow_up</x:v>
      </x:c>
      <x:c r="H95" s="34" t="n">
        <x:v>0.09523809523809523</x:v>
      </x:c>
      <x:c r="I95" s="29" t="n">
        <x:v>0</x:v>
      </x:c>
      <x:c r="J95" s="36" t="n">
        <x:v>4</x:v>
      </x:c>
    </x:row>
    <x:row r="96">
      <x:c r="A96" s="28" t="str">
        <x:v>Holze2023</x:v>
      </x:c>
      <x:c r="B96" s="29" t="str">
        <x:v>Holze 2023</x:v>
      </x:c>
      <x:c r="C96" s="29" t="str">
        <x:v>lsd_200ug</x:v>
      </x:c>
      <x:c r="D96" s="29" t="str">
        <x:v>LSD</x:v>
      </x:c>
      <x:c r="E96" s="29" t="n">
        <x:v>42</x:v>
      </x:c>
      <x:c r="F96" s="29" t="str">
        <x:v>Diarrhea</x:v>
      </x:c>
      <x:c r="G96" s="29" t="str">
        <x:v>session</x:v>
      </x:c>
      <x:c r="H96" s="34" t="n">
        <x:v>0.023809523809523808</x:v>
      </x:c>
      <x:c r="I96" s="29" t="n">
        <x:v>200</x:v>
      </x:c>
      <x:c r="J96" s="36" t="n">
        <x:v>1</x:v>
      </x:c>
    </x:row>
    <x:row r="97">
      <x:c r="A97" s="28" t="str">
        <x:v>Holze2023</x:v>
      </x:c>
      <x:c r="B97" s="29" t="str">
        <x:v>Holze 2023</x:v>
      </x:c>
      <x:c r="C97" s="29" t="str">
        <x:v>placebo_inactif</x:v>
      </x:c>
      <x:c r="D97" s="29" t="str">
        <x:v>LSD</x:v>
      </x:c>
      <x:c r="E97" s="29" t="n">
        <x:v>42</x:v>
      </x:c>
      <x:c r="F97" s="29" t="str">
        <x:v>Diarrhea</x:v>
      </x:c>
      <x:c r="G97" s="29" t="str">
        <x:v>session</x:v>
      </x:c>
      <x:c r="H97" s="34" t="n">
        <x:v>0.047619047619047616</x:v>
      </x:c>
      <x:c r="I97" s="29" t="n">
        <x:v>0</x:v>
      </x:c>
      <x:c r="J97" s="36" t="n">
        <x:v>2</x:v>
      </x:c>
    </x:row>
    <x:row r="98">
      <x:c r="A98" s="28" t="str">
        <x:v>Holze2023</x:v>
      </x:c>
      <x:c r="B98" s="29" t="str">
        <x:v>Holze 2023</x:v>
      </x:c>
      <x:c r="C98" s="29" t="str">
        <x:v>lsd_200ug</x:v>
      </x:c>
      <x:c r="D98" s="29" t="str">
        <x:v>LSD</x:v>
      </x:c>
      <x:c r="E98" s="29" t="n">
        <x:v>42</x:v>
      </x:c>
      <x:c r="F98" s="29" t="str">
        <x:v>Diarrhea</x:v>
      </x:c>
      <x:c r="G98" s="29" t="str">
        <x:v>follow_up</x:v>
      </x:c>
      <x:c r="H98" s="34" t="n">
        <x:v>0.023809523809523808</x:v>
      </x:c>
      <x:c r="I98" s="29" t="n">
        <x:v>200</x:v>
      </x:c>
      <x:c r="J98" s="36" t="n">
        <x:v>1</x:v>
      </x:c>
    </x:row>
    <x:row r="99">
      <x:c r="A99" s="28" t="str">
        <x:v>Holze2023</x:v>
      </x:c>
      <x:c r="B99" s="29" t="str">
        <x:v>Holze 2023</x:v>
      </x:c>
      <x:c r="C99" s="29" t="str">
        <x:v>placebo_inactif</x:v>
      </x:c>
      <x:c r="D99" s="29" t="str">
        <x:v>LSD</x:v>
      </x:c>
      <x:c r="E99" s="29" t="n">
        <x:v>42</x:v>
      </x:c>
      <x:c r="F99" s="29" t="str">
        <x:v>Diarrhea</x:v>
      </x:c>
      <x:c r="G99" s="29" t="str">
        <x:v>follow_up</x:v>
      </x:c>
      <x:c r="H99" s="34" t="n">
        <x:v>0.023809523809523808</x:v>
      </x:c>
      <x:c r="I99" s="29" t="n">
        <x:v>0</x:v>
      </x:c>
      <x:c r="J99" s="36" t="n">
        <x:v>1</x:v>
      </x:c>
    </x:row>
    <x:row r="100">
      <x:c r="A100" s="28" t="str">
        <x:v>Holze2023</x:v>
      </x:c>
      <x:c r="B100" s="29" t="str">
        <x:v>Holze 2023</x:v>
      </x:c>
      <x:c r="C100" s="29" t="str">
        <x:v>lsd_200ug</x:v>
      </x:c>
      <x:c r="D100" s="29" t="str">
        <x:v>LSD</x:v>
      </x:c>
      <x:c r="E100" s="29" t="n">
        <x:v>42</x:v>
      </x:c>
      <x:c r="F100" s="29" t="str">
        <x:v>Cough</x:v>
      </x:c>
      <x:c r="G100" s="29" t="str">
        <x:v>session</x:v>
      </x:c>
      <x:c r="H100" s="34" t="n">
        <x:v>0.07142857142857142</x:v>
      </x:c>
      <x:c r="I100" s="29" t="n">
        <x:v>200</x:v>
      </x:c>
      <x:c r="J100" s="36" t="n">
        <x:v>3</x:v>
      </x:c>
    </x:row>
    <x:row r="101">
      <x:c r="A101" s="28" t="str">
        <x:v>Holze2023</x:v>
      </x:c>
      <x:c r="B101" s="29" t="str">
        <x:v>Holze 2023</x:v>
      </x:c>
      <x:c r="C101" s="29" t="str">
        <x:v>placebo_inactif</x:v>
      </x:c>
      <x:c r="D101" s="29" t="str">
        <x:v>LSD</x:v>
      </x:c>
      <x:c r="E101" s="29" t="n">
        <x:v>42</x:v>
      </x:c>
      <x:c r="F101" s="29" t="str">
        <x:v>Cough</x:v>
      </x:c>
      <x:c r="G101" s="29" t="str">
        <x:v>session</x:v>
      </x:c>
      <x:c r="H101" s="34" t="n">
        <x:v>0.023809523809523808</x:v>
      </x:c>
      <x:c r="I101" s="29" t="n">
        <x:v>0</x:v>
      </x:c>
      <x:c r="J101" s="36" t="n">
        <x:v>1</x:v>
      </x:c>
    </x:row>
    <x:row r="102">
      <x:c r="A102" s="28" t="str">
        <x:v>Holze2023</x:v>
      </x:c>
      <x:c r="B102" s="29" t="str">
        <x:v>Holze 2023</x:v>
      </x:c>
      <x:c r="C102" s="29" t="str">
        <x:v>lsd_200ug</x:v>
      </x:c>
      <x:c r="D102" s="29" t="str">
        <x:v>LSD</x:v>
      </x:c>
      <x:c r="E102" s="29" t="n">
        <x:v>42</x:v>
      </x:c>
      <x:c r="F102" s="29" t="str">
        <x:v>Cough</x:v>
      </x:c>
      <x:c r="G102" s="29" t="str">
        <x:v>follow_up</x:v>
      </x:c>
      <x:c r="H102" s="34" t="n">
        <x:v>0</x:v>
      </x:c>
      <x:c r="I102" s="29" t="n">
        <x:v>200</x:v>
      </x:c>
      <x:c r="J102" s="36" t="n">
        <x:v>0</x:v>
      </x:c>
    </x:row>
    <x:row r="103">
      <x:c r="A103" s="28" t="str">
        <x:v>Holze2023</x:v>
      </x:c>
      <x:c r="B103" s="29" t="str">
        <x:v>Holze 2023</x:v>
      </x:c>
      <x:c r="C103" s="29" t="str">
        <x:v>placebo_inactif</x:v>
      </x:c>
      <x:c r="D103" s="29" t="str">
        <x:v>LSD</x:v>
      </x:c>
      <x:c r="E103" s="29" t="n">
        <x:v>42</x:v>
      </x:c>
      <x:c r="F103" s="29" t="str">
        <x:v>Cough</x:v>
      </x:c>
      <x:c r="G103" s="29" t="str">
        <x:v>follow_up</x:v>
      </x:c>
      <x:c r="H103" s="34" t="n">
        <x:v>0</x:v>
      </x:c>
      <x:c r="I103" s="29" t="n">
        <x:v>0</x:v>
      </x:c>
      <x:c r="J103" s="36" t="n">
        <x:v>0</x:v>
      </x:c>
    </x:row>
    <x:row r="104">
      <x:c r="A104" s="28" t="str">
        <x:v>Holze2023</x:v>
      </x:c>
      <x:c r="B104" s="29" t="str">
        <x:v>Holze 2023</x:v>
      </x:c>
      <x:c r="C104" s="29" t="str">
        <x:v>lsd_200ug</x:v>
      </x:c>
      <x:c r="D104" s="29" t="str">
        <x:v>LSD</x:v>
      </x:c>
      <x:c r="E104" s="29" t="n">
        <x:v>42</x:v>
      </x:c>
      <x:c r="F104" s="29" t="str">
        <x:v>Abdominal cramps</x:v>
      </x:c>
      <x:c r="G104" s="29" t="str">
        <x:v>session</x:v>
      </x:c>
      <x:c r="H104" s="34" t="n">
        <x:v>0.047619047619047616</x:v>
      </x:c>
      <x:c r="I104" s="29" t="n">
        <x:v>200</x:v>
      </x:c>
      <x:c r="J104" s="36" t="n">
        <x:v>2</x:v>
      </x:c>
    </x:row>
    <x:row r="105">
      <x:c r="A105" s="28" t="str">
        <x:v>Holze2023</x:v>
      </x:c>
      <x:c r="B105" s="29" t="str">
        <x:v>Holze 2023</x:v>
      </x:c>
      <x:c r="C105" s="29" t="str">
        <x:v>placebo_inactif</x:v>
      </x:c>
      <x:c r="D105" s="29" t="str">
        <x:v>LSD</x:v>
      </x:c>
      <x:c r="E105" s="29" t="n">
        <x:v>42</x:v>
      </x:c>
      <x:c r="F105" s="29" t="str">
        <x:v>Abdominal cramps</x:v>
      </x:c>
      <x:c r="G105" s="29" t="str">
        <x:v>session</x:v>
      </x:c>
      <x:c r="H105" s="34" t="n">
        <x:v>0</x:v>
      </x:c>
      <x:c r="I105" s="29" t="n">
        <x:v>0</x:v>
      </x:c>
      <x:c r="J105" s="36" t="n">
        <x:v>0</x:v>
      </x:c>
    </x:row>
    <x:row r="106">
      <x:c r="A106" s="28" t="str">
        <x:v>Holze2023</x:v>
      </x:c>
      <x:c r="B106" s="29" t="str">
        <x:v>Holze 2023</x:v>
      </x:c>
      <x:c r="C106" s="29" t="str">
        <x:v>lsd_200ug</x:v>
      </x:c>
      <x:c r="D106" s="29" t="str">
        <x:v>LSD</x:v>
      </x:c>
      <x:c r="E106" s="29" t="n">
        <x:v>42</x:v>
      </x:c>
      <x:c r="F106" s="29" t="str">
        <x:v>Abdominal cramps</x:v>
      </x:c>
      <x:c r="G106" s="29" t="str">
        <x:v>follow_up</x:v>
      </x:c>
      <x:c r="H106" s="34" t="n">
        <x:v>0</x:v>
      </x:c>
      <x:c r="I106" s="29" t="n">
        <x:v>200</x:v>
      </x:c>
      <x:c r="J106" s="36" t="n">
        <x:v>0</x:v>
      </x:c>
    </x:row>
    <x:row r="107">
      <x:c r="A107" s="28" t="str">
        <x:v>Holze2023</x:v>
      </x:c>
      <x:c r="B107" s="29" t="str">
        <x:v>Holze 2023</x:v>
      </x:c>
      <x:c r="C107" s="29" t="str">
        <x:v>placebo_inactif</x:v>
      </x:c>
      <x:c r="D107" s="29" t="str">
        <x:v>LSD</x:v>
      </x:c>
      <x:c r="E107" s="29" t="n">
        <x:v>42</x:v>
      </x:c>
      <x:c r="F107" s="29" t="str">
        <x:v>Abdominal cramps</x:v>
      </x:c>
      <x:c r="G107" s="29" t="str">
        <x:v>follow_up</x:v>
      </x:c>
      <x:c r="H107" s="34" t="n">
        <x:v>0</x:v>
      </x:c>
      <x:c r="I107" s="29" t="n">
        <x:v>0</x:v>
      </x:c>
      <x:c r="J107" s="36" t="n">
        <x:v>0</x:v>
      </x:c>
    </x:row>
    <x:row r="108">
      <x:c r="A108" s="28" t="str">
        <x:v>Holze2023</x:v>
      </x:c>
      <x:c r="B108" s="29" t="str">
        <x:v>Holze 2023</x:v>
      </x:c>
      <x:c r="C108" s="29" t="str">
        <x:v>lsd_200ug</x:v>
      </x:c>
      <x:c r="D108" s="29" t="str">
        <x:v>LSD</x:v>
      </x:c>
      <x:c r="E108" s="29" t="n">
        <x:v>42</x:v>
      </x:c>
      <x:c r="F108" s="29" t="str">
        <x:v>Abdominal pain</x:v>
      </x:c>
      <x:c r="G108" s="29" t="str">
        <x:v>session</x:v>
      </x:c>
      <x:c r="H108" s="34" t="n">
        <x:v>0</x:v>
      </x:c>
      <x:c r="I108" s="29" t="n">
        <x:v>200</x:v>
      </x:c>
      <x:c r="J108" s="36" t="n">
        <x:v>0</x:v>
      </x:c>
    </x:row>
    <x:row r="109">
      <x:c r="A109" s="28" t="str">
        <x:v>Holze2023</x:v>
      </x:c>
      <x:c r="B109" s="29" t="str">
        <x:v>Holze 2023</x:v>
      </x:c>
      <x:c r="C109" s="29" t="str">
        <x:v>placebo_inactif</x:v>
      </x:c>
      <x:c r="D109" s="29" t="str">
        <x:v>LSD</x:v>
      </x:c>
      <x:c r="E109" s="29" t="n">
        <x:v>42</x:v>
      </x:c>
      <x:c r="F109" s="29" t="str">
        <x:v>Abdominal pain</x:v>
      </x:c>
      <x:c r="G109" s="29" t="str">
        <x:v>session</x:v>
      </x:c>
      <x:c r="H109" s="34" t="n">
        <x:v>0.023809523809523808</x:v>
      </x:c>
      <x:c r="I109" s="29" t="n">
        <x:v>0</x:v>
      </x:c>
      <x:c r="J109" s="36" t="n">
        <x:v>1</x:v>
      </x:c>
    </x:row>
    <x:row r="110">
      <x:c r="A110" s="28" t="str">
        <x:v>Holze2023</x:v>
      </x:c>
      <x:c r="B110" s="29" t="str">
        <x:v>Holze 2023</x:v>
      </x:c>
      <x:c r="C110" s="29" t="str">
        <x:v>lsd_200ug</x:v>
      </x:c>
      <x:c r="D110" s="29" t="str">
        <x:v>LSD</x:v>
      </x:c>
      <x:c r="E110" s="29" t="n">
        <x:v>42</x:v>
      </x:c>
      <x:c r="F110" s="29" t="str">
        <x:v>Abdominal pain</x:v>
      </x:c>
      <x:c r="G110" s="29" t="str">
        <x:v>follow_up</x:v>
      </x:c>
      <x:c r="H110" s="34" t="n">
        <x:v>0.023809523809523808</x:v>
      </x:c>
      <x:c r="I110" s="29" t="n">
        <x:v>200</x:v>
      </x:c>
      <x:c r="J110" s="36" t="n">
        <x:v>1</x:v>
      </x:c>
    </x:row>
    <x:row r="111">
      <x:c r="A111" s="28" t="str">
        <x:v>Holze2023</x:v>
      </x:c>
      <x:c r="B111" s="29" t="str">
        <x:v>Holze 2023</x:v>
      </x:c>
      <x:c r="C111" s="29" t="str">
        <x:v>placebo_inactif</x:v>
      </x:c>
      <x:c r="D111" s="29" t="str">
        <x:v>LSD</x:v>
      </x:c>
      <x:c r="E111" s="29" t="n">
        <x:v>42</x:v>
      </x:c>
      <x:c r="F111" s="29" t="str">
        <x:v>Abdominal pain</x:v>
      </x:c>
      <x:c r="G111" s="29" t="str">
        <x:v>follow_up</x:v>
      </x:c>
      <x:c r="H111" s="34" t="n">
        <x:v>0</x:v>
      </x:c>
      <x:c r="I111" s="29" t="n">
        <x:v>0</x:v>
      </x:c>
      <x:c r="J111" s="36" t="n">
        <x:v>0</x:v>
      </x:c>
    </x:row>
    <x:row r="112">
      <x:c r="A112" s="28" t="str">
        <x:v>Holze2023</x:v>
      </x:c>
      <x:c r="B112" s="29" t="str">
        <x:v>Holze 2023</x:v>
      </x:c>
      <x:c r="C112" s="29" t="str">
        <x:v>lsd_200ug</x:v>
      </x:c>
      <x:c r="D112" s="29" t="str">
        <x:v>LSD</x:v>
      </x:c>
      <x:c r="E112" s="29" t="n">
        <x:v>42</x:v>
      </x:c>
      <x:c r="F112" s="29" t="str">
        <x:v>Lumbalgia</x:v>
      </x:c>
      <x:c r="G112" s="29" t="str">
        <x:v>session</x:v>
      </x:c>
      <x:c r="H112" s="34" t="n">
        <x:v>0</x:v>
      </x:c>
      <x:c r="I112" s="29" t="n">
        <x:v>200</x:v>
      </x:c>
      <x:c r="J112" s="36" t="n">
        <x:v>0</x:v>
      </x:c>
    </x:row>
    <x:row r="113">
      <x:c r="A113" s="28" t="str">
        <x:v>Holze2023</x:v>
      </x:c>
      <x:c r="B113" s="29" t="str">
        <x:v>Holze 2023</x:v>
      </x:c>
      <x:c r="C113" s="29" t="str">
        <x:v>placebo_inactif</x:v>
      </x:c>
      <x:c r="D113" s="29" t="str">
        <x:v>LSD</x:v>
      </x:c>
      <x:c r="E113" s="29" t="n">
        <x:v>42</x:v>
      </x:c>
      <x:c r="F113" s="29" t="str">
        <x:v>Lumbalgia</x:v>
      </x:c>
      <x:c r="G113" s="29" t="str">
        <x:v>session</x:v>
      </x:c>
      <x:c r="H113" s="34" t="n">
        <x:v>0.023809523809523808</x:v>
      </x:c>
      <x:c r="I113" s="29" t="n">
        <x:v>0</x:v>
      </x:c>
      <x:c r="J113" s="36" t="n">
        <x:v>1</x:v>
      </x:c>
    </x:row>
    <x:row r="114">
      <x:c r="A114" s="28" t="str">
        <x:v>Holze2023</x:v>
      </x:c>
      <x:c r="B114" s="29" t="str">
        <x:v>Holze 2023</x:v>
      </x:c>
      <x:c r="C114" s="29" t="str">
        <x:v>lsd_200ug</x:v>
      </x:c>
      <x:c r="D114" s="29" t="str">
        <x:v>LSD</x:v>
      </x:c>
      <x:c r="E114" s="29" t="n">
        <x:v>42</x:v>
      </x:c>
      <x:c r="F114" s="29" t="str">
        <x:v>Lumbalgia</x:v>
      </x:c>
      <x:c r="G114" s="29" t="str">
        <x:v>follow_up</x:v>
      </x:c>
      <x:c r="H114" s="34" t="n">
        <x:v>0</x:v>
      </x:c>
      <x:c r="I114" s="29" t="n">
        <x:v>200</x:v>
      </x:c>
      <x:c r="J114" s="36" t="n">
        <x:v>0</x:v>
      </x:c>
    </x:row>
    <x:row r="115">
      <x:c r="A115" s="28" t="str">
        <x:v>Holze2023</x:v>
      </x:c>
      <x:c r="B115" s="29" t="str">
        <x:v>Holze 2023</x:v>
      </x:c>
      <x:c r="C115" s="29" t="str">
        <x:v>placebo_inactif</x:v>
      </x:c>
      <x:c r="D115" s="29" t="str">
        <x:v>LSD</x:v>
      </x:c>
      <x:c r="E115" s="29" t="n">
        <x:v>42</x:v>
      </x:c>
      <x:c r="F115" s="29" t="str">
        <x:v>Lumbalgia</x:v>
      </x:c>
      <x:c r="G115" s="29" t="str">
        <x:v>follow_up</x:v>
      </x:c>
      <x:c r="H115" s="34" t="n">
        <x:v>0.023809523809523808</x:v>
      </x:c>
      <x:c r="I115" s="29" t="n">
        <x:v>0</x:v>
      </x:c>
      <x:c r="J115" s="36" t="n">
        <x:v>1</x:v>
      </x:c>
    </x:row>
    <x:row r="116">
      <x:c r="A116" s="28" t="str">
        <x:v>Holze2023</x:v>
      </x:c>
      <x:c r="B116" s="29" t="str">
        <x:v>Holze 2023</x:v>
      </x:c>
      <x:c r="C116" s="29" t="str">
        <x:v>lsd_200ug</x:v>
      </x:c>
      <x:c r="D116" s="29" t="str">
        <x:v>LSD</x:v>
      </x:c>
      <x:c r="E116" s="29" t="n">
        <x:v>42</x:v>
      </x:c>
      <x:c r="F116" s="29" t="str">
        <x:v>Mastitis</x:v>
      </x:c>
      <x:c r="G116" s="29" t="str">
        <x:v>session</x:v>
      </x:c>
      <x:c r="H116" s="34" t="n">
        <x:v>0.047619047619047616</x:v>
      </x:c>
      <x:c r="I116" s="29" t="n">
        <x:v>200</x:v>
      </x:c>
      <x:c r="J116" s="36" t="n">
        <x:v>2</x:v>
      </x:c>
    </x:row>
    <x:row r="117">
      <x:c r="A117" s="28" t="str">
        <x:v>Holze2023</x:v>
      </x:c>
      <x:c r="B117" s="29" t="str">
        <x:v>Holze 2023</x:v>
      </x:c>
      <x:c r="C117" s="29" t="str">
        <x:v>placebo_inactif</x:v>
      </x:c>
      <x:c r="D117" s="29" t="str">
        <x:v>LSD</x:v>
      </x:c>
      <x:c r="E117" s="29" t="n">
        <x:v>42</x:v>
      </x:c>
      <x:c r="F117" s="29" t="str">
        <x:v>Mastitis</x:v>
      </x:c>
      <x:c r="G117" s="29" t="str">
        <x:v>session</x:v>
      </x:c>
      <x:c r="H117" s="34" t="n">
        <x:v>0</x:v>
      </x:c>
      <x:c r="I117" s="29" t="n">
        <x:v>0</x:v>
      </x:c>
      <x:c r="J117" s="36" t="n">
        <x:v>0</x:v>
      </x:c>
    </x:row>
    <x:row r="118">
      <x:c r="A118" s="28" t="str">
        <x:v>Holze2023</x:v>
      </x:c>
      <x:c r="B118" s="29" t="str">
        <x:v>Holze 2023</x:v>
      </x:c>
      <x:c r="C118" s="29" t="str">
        <x:v>lsd_200ug</x:v>
      </x:c>
      <x:c r="D118" s="29" t="str">
        <x:v>LSD</x:v>
      </x:c>
      <x:c r="E118" s="29" t="n">
        <x:v>42</x:v>
      </x:c>
      <x:c r="F118" s="29" t="str">
        <x:v>Mastitis</x:v>
      </x:c>
      <x:c r="G118" s="29" t="str">
        <x:v>follow_up</x:v>
      </x:c>
      <x:c r="H118" s="34" t="n">
        <x:v>0</x:v>
      </x:c>
      <x:c r="I118" s="29" t="n">
        <x:v>200</x:v>
      </x:c>
      <x:c r="J118" s="36" t="n">
        <x:v>0</x:v>
      </x:c>
    </x:row>
    <x:row r="119">
      <x:c r="A119" s="28" t="str">
        <x:v>Holze2023</x:v>
      </x:c>
      <x:c r="B119" s="29" t="str">
        <x:v>Holze 2023</x:v>
      </x:c>
      <x:c r="C119" s="29" t="str">
        <x:v>placebo_inactif</x:v>
      </x:c>
      <x:c r="D119" s="29" t="str">
        <x:v>LSD</x:v>
      </x:c>
      <x:c r="E119" s="29" t="n">
        <x:v>42</x:v>
      </x:c>
      <x:c r="F119" s="29" t="str">
        <x:v>Mastitis</x:v>
      </x:c>
      <x:c r="G119" s="29" t="str">
        <x:v>follow_up</x:v>
      </x:c>
      <x:c r="H119" s="34" t="n">
        <x:v>0</x:v>
      </x:c>
      <x:c r="I119" s="29" t="n">
        <x:v>0</x:v>
      </x:c>
      <x:c r="J119" s="36" t="n">
        <x:v>0</x:v>
      </x:c>
    </x:row>
    <x:row r="120">
      <x:c r="A120" s="28" t="str">
        <x:v>Holze2023</x:v>
      </x:c>
      <x:c r="B120" s="29" t="str">
        <x:v>Holze 2023</x:v>
      </x:c>
      <x:c r="C120" s="29" t="str">
        <x:v>lsd_200ug</x:v>
      </x:c>
      <x:c r="D120" s="29" t="str">
        <x:v>LSD</x:v>
      </x:c>
      <x:c r="E120" s="29" t="n">
        <x:v>42</x:v>
      </x:c>
      <x:c r="F120" s="29" t="str">
        <x:v>Weight gain</x:v>
      </x:c>
      <x:c r="G120" s="29" t="str">
        <x:v>session</x:v>
      </x:c>
      <x:c r="H120" s="34" t="n">
        <x:v>0</x:v>
      </x:c>
      <x:c r="I120" s="29" t="n">
        <x:v>200</x:v>
      </x:c>
      <x:c r="J120" s="36" t="n">
        <x:v>0</x:v>
      </x:c>
    </x:row>
    <x:row r="121">
      <x:c r="A121" s="28" t="str">
        <x:v>Holze2023</x:v>
      </x:c>
      <x:c r="B121" s="29" t="str">
        <x:v>Holze 2023</x:v>
      </x:c>
      <x:c r="C121" s="29" t="str">
        <x:v>placebo_inactif</x:v>
      </x:c>
      <x:c r="D121" s="29" t="str">
        <x:v>LSD</x:v>
      </x:c>
      <x:c r="E121" s="29" t="n">
        <x:v>42</x:v>
      </x:c>
      <x:c r="F121" s="29" t="str">
        <x:v>Weight gain</x:v>
      </x:c>
      <x:c r="G121" s="29" t="str">
        <x:v>session</x:v>
      </x:c>
      <x:c r="H121" s="34" t="n">
        <x:v>0.023809523809523808</x:v>
      </x:c>
      <x:c r="I121" s="29" t="n">
        <x:v>0</x:v>
      </x:c>
      <x:c r="J121" s="36" t="n">
        <x:v>1</x:v>
      </x:c>
    </x:row>
    <x:row r="122">
      <x:c r="A122" s="28" t="str">
        <x:v>Holze2023</x:v>
      </x:c>
      <x:c r="B122" s="29" t="str">
        <x:v>Holze 2023</x:v>
      </x:c>
      <x:c r="C122" s="29" t="str">
        <x:v>lsd_200ug</x:v>
      </x:c>
      <x:c r="D122" s="29" t="str">
        <x:v>LSD</x:v>
      </x:c>
      <x:c r="E122" s="29" t="n">
        <x:v>42</x:v>
      </x:c>
      <x:c r="F122" s="29" t="str">
        <x:v>Weight gain</x:v>
      </x:c>
      <x:c r="G122" s="29" t="str">
        <x:v>follow_up</x:v>
      </x:c>
      <x:c r="H122" s="34" t="n">
        <x:v>0</x:v>
      </x:c>
      <x:c r="I122" s="29" t="n">
        <x:v>200</x:v>
      </x:c>
      <x:c r="J122" s="36" t="n">
        <x:v>0</x:v>
      </x:c>
    </x:row>
    <x:row r="123">
      <x:c r="A123" s="28" t="str">
        <x:v>Holze2023</x:v>
      </x:c>
      <x:c r="B123" s="29" t="str">
        <x:v>Holze 2023</x:v>
      </x:c>
      <x:c r="C123" s="29" t="str">
        <x:v>placebo_inactif</x:v>
      </x:c>
      <x:c r="D123" s="29" t="str">
        <x:v>LSD</x:v>
      </x:c>
      <x:c r="E123" s="29" t="n">
        <x:v>42</x:v>
      </x:c>
      <x:c r="F123" s="29" t="str">
        <x:v>Weight gain</x:v>
      </x:c>
      <x:c r="G123" s="29" t="str">
        <x:v>follow_up</x:v>
      </x:c>
      <x:c r="H123" s="34" t="n">
        <x:v>0.023809523809523808</x:v>
      </x:c>
      <x:c r="I123" s="29" t="n">
        <x:v>0</x:v>
      </x:c>
      <x:c r="J123" s="36" t="n">
        <x:v>1</x:v>
      </x:c>
    </x:row>
    <x:row r="124">
      <x:c r="A124" s="28" t="str">
        <x:v>Holze2023</x:v>
      </x:c>
      <x:c r="B124" s="29" t="str">
        <x:v>Holze 2023</x:v>
      </x:c>
      <x:c r="C124" s="29" t="str">
        <x:v>lsd_200ug</x:v>
      </x:c>
      <x:c r="D124" s="29" t="str">
        <x:v>LSD</x:v>
      </x:c>
      <x:c r="E124" s="29" t="n">
        <x:v>42</x:v>
      </x:c>
      <x:c r="F124" s="29" t="str">
        <x:v>Viral eye infection</x:v>
      </x:c>
      <x:c r="G124" s="29" t="str">
        <x:v>session</x:v>
      </x:c>
      <x:c r="H124" s="34" t="n">
        <x:v>0</x:v>
      </x:c>
      <x:c r="I124" s="29" t="n">
        <x:v>200</x:v>
      </x:c>
      <x:c r="J124" s="36" t="n">
        <x:v>0</x:v>
      </x:c>
    </x:row>
    <x:row r="125">
      <x:c r="A125" s="28" t="str">
        <x:v>Holze2023</x:v>
      </x:c>
      <x:c r="B125" s="29" t="str">
        <x:v>Holze 2023</x:v>
      </x:c>
      <x:c r="C125" s="29" t="str">
        <x:v>placebo_inactif</x:v>
      </x:c>
      <x:c r="D125" s="29" t="str">
        <x:v>LSD</x:v>
      </x:c>
      <x:c r="E125" s="29" t="n">
        <x:v>42</x:v>
      </x:c>
      <x:c r="F125" s="29" t="str">
        <x:v>Viral eye infection</x:v>
      </x:c>
      <x:c r="G125" s="29" t="str">
        <x:v>session</x:v>
      </x:c>
      <x:c r="H125" s="34" t="n">
        <x:v>0.023809523809523808</x:v>
      </x:c>
      <x:c r="I125" s="29" t="n">
        <x:v>0</x:v>
      </x:c>
      <x:c r="J125" s="36" t="n">
        <x:v>1</x:v>
      </x:c>
    </x:row>
    <x:row r="126">
      <x:c r="A126" s="28" t="str">
        <x:v>Holze2023</x:v>
      </x:c>
      <x:c r="B126" s="29" t="str">
        <x:v>Holze 2023</x:v>
      </x:c>
      <x:c r="C126" s="29" t="str">
        <x:v>lsd_200ug</x:v>
      </x:c>
      <x:c r="D126" s="29" t="str">
        <x:v>LSD</x:v>
      </x:c>
      <x:c r="E126" s="29" t="n">
        <x:v>42</x:v>
      </x:c>
      <x:c r="F126" s="29" t="str">
        <x:v>Viral eye infection</x:v>
      </x:c>
      <x:c r="G126" s="29" t="str">
        <x:v>follow_up</x:v>
      </x:c>
      <x:c r="H126" s="34" t="n">
        <x:v>0</x:v>
      </x:c>
      <x:c r="I126" s="29" t="n">
        <x:v>200</x:v>
      </x:c>
      <x:c r="J126" s="36" t="n">
        <x:v>0</x:v>
      </x:c>
    </x:row>
    <x:row r="127">
      <x:c r="A127" s="28" t="str">
        <x:v>Holze2023</x:v>
      </x:c>
      <x:c r="B127" s="29" t="str">
        <x:v>Holze 2023</x:v>
      </x:c>
      <x:c r="C127" s="29" t="str">
        <x:v>placebo_inactif</x:v>
      </x:c>
      <x:c r="D127" s="29" t="str">
        <x:v>LSD</x:v>
      </x:c>
      <x:c r="E127" s="29" t="n">
        <x:v>42</x:v>
      </x:c>
      <x:c r="F127" s="29" t="str">
        <x:v>Viral eye infection</x:v>
      </x:c>
      <x:c r="G127" s="29" t="str">
        <x:v>follow_up</x:v>
      </x:c>
      <x:c r="H127" s="34" t="n">
        <x:v>0</x:v>
      </x:c>
      <x:c r="I127" s="29" t="n">
        <x:v>0</x:v>
      </x:c>
      <x:c r="J127" s="36" t="n">
        <x:v>0</x:v>
      </x:c>
    </x:row>
    <x:row r="128">
      <x:c r="A128" s="28" t="str">
        <x:v>Holze2023</x:v>
      </x:c>
      <x:c r="B128" s="29" t="str">
        <x:v>Holze 2023</x:v>
      </x:c>
      <x:c r="C128" s="29" t="str">
        <x:v>lsd_200ug</x:v>
      </x:c>
      <x:c r="D128" s="29" t="str">
        <x:v>LSD</x:v>
      </x:c>
      <x:c r="E128" s="29" t="n">
        <x:v>42</x:v>
      </x:c>
      <x:c r="F128" s="29" t="str">
        <x:v>Bronchitis</x:v>
      </x:c>
      <x:c r="G128" s="29" t="str">
        <x:v>session</x:v>
      </x:c>
      <x:c r="H128" s="34" t="n">
        <x:v>0</x:v>
      </x:c>
      <x:c r="I128" s="29" t="n">
        <x:v>200</x:v>
      </x:c>
      <x:c r="J128" s="36" t="n">
        <x:v>0</x:v>
      </x:c>
    </x:row>
    <x:row r="129">
      <x:c r="A129" s="28" t="str">
        <x:v>Holze2023</x:v>
      </x:c>
      <x:c r="B129" s="29" t="str">
        <x:v>Holze 2023</x:v>
      </x:c>
      <x:c r="C129" s="29" t="str">
        <x:v>placebo_inactif</x:v>
      </x:c>
      <x:c r="D129" s="29" t="str">
        <x:v>LSD</x:v>
      </x:c>
      <x:c r="E129" s="29" t="n">
        <x:v>42</x:v>
      </x:c>
      <x:c r="F129" s="29" t="str">
        <x:v>Bronchitis</x:v>
      </x:c>
      <x:c r="G129" s="29" t="str">
        <x:v>session</x:v>
      </x:c>
      <x:c r="H129" s="34" t="n">
        <x:v>0.023809523809523808</x:v>
      </x:c>
      <x:c r="I129" s="29" t="n">
        <x:v>0</x:v>
      </x:c>
      <x:c r="J129" s="36" t="n">
        <x:v>1</x:v>
      </x:c>
    </x:row>
    <x:row r="130">
      <x:c r="A130" s="28" t="str">
        <x:v>Holze2023</x:v>
      </x:c>
      <x:c r="B130" s="29" t="str">
        <x:v>Holze 2023</x:v>
      </x:c>
      <x:c r="C130" s="29" t="str">
        <x:v>lsd_200ug</x:v>
      </x:c>
      <x:c r="D130" s="29" t="str">
        <x:v>LSD</x:v>
      </x:c>
      <x:c r="E130" s="29" t="n">
        <x:v>42</x:v>
      </x:c>
      <x:c r="F130" s="29" t="str">
        <x:v>Bronchitis</x:v>
      </x:c>
      <x:c r="G130" s="29" t="str">
        <x:v>follow_up</x:v>
      </x:c>
      <x:c r="H130" s="34" t="n">
        <x:v>0</x:v>
      </x:c>
      <x:c r="I130" s="29" t="n">
        <x:v>200</x:v>
      </x:c>
      <x:c r="J130" s="36" t="n">
        <x:v>0</x:v>
      </x:c>
    </x:row>
    <x:row r="131">
      <x:c r="A131" s="28" t="str">
        <x:v>Holze2023</x:v>
      </x:c>
      <x:c r="B131" s="29" t="str">
        <x:v>Holze 2023</x:v>
      </x:c>
      <x:c r="C131" s="29" t="str">
        <x:v>placebo_inactif</x:v>
      </x:c>
      <x:c r="D131" s="29" t="str">
        <x:v>LSD</x:v>
      </x:c>
      <x:c r="E131" s="29" t="n">
        <x:v>42</x:v>
      </x:c>
      <x:c r="F131" s="29" t="str">
        <x:v>Bronchitis</x:v>
      </x:c>
      <x:c r="G131" s="29" t="str">
        <x:v>follow_up</x:v>
      </x:c>
      <x:c r="H131" s="34" t="n">
        <x:v>0</x:v>
      </x:c>
      <x:c r="I131" s="29" t="n">
        <x:v>0</x:v>
      </x:c>
      <x:c r="J131" s="36" t="n">
        <x:v>0</x:v>
      </x:c>
    </x:row>
    <x:row r="132">
      <x:c r="A132" s="28" t="str">
        <x:v>Holze2023</x:v>
      </x:c>
      <x:c r="B132" s="29" t="str">
        <x:v>Holze 2023</x:v>
      </x:c>
      <x:c r="C132" s="29" t="str">
        <x:v>lsd_200ug</x:v>
      </x:c>
      <x:c r="D132" s="29" t="str">
        <x:v>LSD</x:v>
      </x:c>
      <x:c r="E132" s="29" t="n">
        <x:v>42</x:v>
      </x:c>
      <x:c r="F132" s="29" t="str">
        <x:v>Sigmoiditis</x:v>
      </x:c>
      <x:c r="G132" s="29" t="str">
        <x:v>session</x:v>
      </x:c>
      <x:c r="H132" s="34" t="n">
        <x:v>0.023809523809523808</x:v>
      </x:c>
      <x:c r="I132" s="29" t="n">
        <x:v>200</x:v>
      </x:c>
      <x:c r="J132" s="36" t="n">
        <x:v>1</x:v>
      </x:c>
    </x:row>
    <x:row r="133">
      <x:c r="A133" s="28" t="str">
        <x:v>Holze2023</x:v>
      </x:c>
      <x:c r="B133" s="29" t="str">
        <x:v>Holze 2023</x:v>
      </x:c>
      <x:c r="C133" s="29" t="str">
        <x:v>placebo_inactif</x:v>
      </x:c>
      <x:c r="D133" s="29" t="str">
        <x:v>LSD</x:v>
      </x:c>
      <x:c r="E133" s="29" t="n">
        <x:v>42</x:v>
      </x:c>
      <x:c r="F133" s="29" t="str">
        <x:v>Sigmoiditis</x:v>
      </x:c>
      <x:c r="G133" s="29" t="str">
        <x:v>session</x:v>
      </x:c>
      <x:c r="H133" s="34" t="n">
        <x:v>0</x:v>
      </x:c>
      <x:c r="I133" s="29" t="n">
        <x:v>0</x:v>
      </x:c>
      <x:c r="J133" s="36" t="n">
        <x:v>0</x:v>
      </x:c>
    </x:row>
    <x:row r="134">
      <x:c r="A134" s="28" t="str">
        <x:v>Holze2023</x:v>
      </x:c>
      <x:c r="B134" s="29" t="str">
        <x:v>Holze 2023</x:v>
      </x:c>
      <x:c r="C134" s="29" t="str">
        <x:v>lsd_200ug</x:v>
      </x:c>
      <x:c r="D134" s="29" t="str">
        <x:v>LSD</x:v>
      </x:c>
      <x:c r="E134" s="29" t="n">
        <x:v>42</x:v>
      </x:c>
      <x:c r="F134" s="29" t="str">
        <x:v>Sigmoiditis</x:v>
      </x:c>
      <x:c r="G134" s="29" t="str">
        <x:v>follow_up</x:v>
      </x:c>
      <x:c r="H134" s="34" t="n">
        <x:v>0</x:v>
      </x:c>
      <x:c r="I134" s="29" t="n">
        <x:v>200</x:v>
      </x:c>
      <x:c r="J134" s="36" t="n">
        <x:v>0</x:v>
      </x:c>
    </x:row>
    <x:row r="135">
      <x:c r="A135" s="28" t="str">
        <x:v>Holze2023</x:v>
      </x:c>
      <x:c r="B135" s="29" t="str">
        <x:v>Holze 2023</x:v>
      </x:c>
      <x:c r="C135" s="29" t="str">
        <x:v>placebo_inactif</x:v>
      </x:c>
      <x:c r="D135" s="29" t="str">
        <x:v>LSD</x:v>
      </x:c>
      <x:c r="E135" s="29" t="n">
        <x:v>42</x:v>
      </x:c>
      <x:c r="F135" s="29" t="str">
        <x:v>Sigmoiditis</x:v>
      </x:c>
      <x:c r="G135" s="29" t="str">
        <x:v>follow_up</x:v>
      </x:c>
      <x:c r="H135" s="34" t="n">
        <x:v>0</x:v>
      </x:c>
      <x:c r="I135" s="29" t="n">
        <x:v>0</x:v>
      </x:c>
      <x:c r="J135" s="36" t="n">
        <x:v>0</x:v>
      </x:c>
    </x:row>
    <x:row r="136">
      <x:c r="A136" s="28" t="str">
        <x:v>Holze2023</x:v>
      </x:c>
      <x:c r="B136" s="29" t="str">
        <x:v>Holze 2023</x:v>
      </x:c>
      <x:c r="C136" s="29" t="str">
        <x:v>lsd_200ug</x:v>
      </x:c>
      <x:c r="D136" s="29" t="str">
        <x:v>LSD</x:v>
      </x:c>
      <x:c r="E136" s="29" t="n">
        <x:v>42</x:v>
      </x:c>
      <x:c r="F136" s="29" t="str">
        <x:v>Insect bite</x:v>
      </x:c>
      <x:c r="G136" s="29" t="str">
        <x:v>session</x:v>
      </x:c>
      <x:c r="H136" s="34" t="n">
        <x:v>0</x:v>
      </x:c>
      <x:c r="I136" s="29" t="n">
        <x:v>200</x:v>
      </x:c>
      <x:c r="J136" s="36" t="n">
        <x:v>0</x:v>
      </x:c>
    </x:row>
    <x:row r="137">
      <x:c r="A137" s="28" t="str">
        <x:v>Holze2023</x:v>
      </x:c>
      <x:c r="B137" s="29" t="str">
        <x:v>Holze 2023</x:v>
      </x:c>
      <x:c r="C137" s="29" t="str">
        <x:v>placebo_inactif</x:v>
      </x:c>
      <x:c r="D137" s="29" t="str">
        <x:v>LSD</x:v>
      </x:c>
      <x:c r="E137" s="29" t="n">
        <x:v>42</x:v>
      </x:c>
      <x:c r="F137" s="29" t="str">
        <x:v>Insect bite</x:v>
      </x:c>
      <x:c r="G137" s="29" t="str">
        <x:v>session</x:v>
      </x:c>
      <x:c r="H137" s="34" t="n">
        <x:v>0.023809523809523808</x:v>
      </x:c>
      <x:c r="I137" s="29" t="n">
        <x:v>0</x:v>
      </x:c>
      <x:c r="J137" s="36" t="n">
        <x:v>1</x:v>
      </x:c>
    </x:row>
    <x:row r="138">
      <x:c r="A138" s="28" t="str">
        <x:v>Holze2023</x:v>
      </x:c>
      <x:c r="B138" s="29" t="str">
        <x:v>Holze 2023</x:v>
      </x:c>
      <x:c r="C138" s="29" t="str">
        <x:v>lsd_200ug</x:v>
      </x:c>
      <x:c r="D138" s="29" t="str">
        <x:v>LSD</x:v>
      </x:c>
      <x:c r="E138" s="29" t="n">
        <x:v>42</x:v>
      </x:c>
      <x:c r="F138" s="29" t="str">
        <x:v>Insect bite</x:v>
      </x:c>
      <x:c r="G138" s="29" t="str">
        <x:v>follow_up</x:v>
      </x:c>
      <x:c r="H138" s="34" t="n">
        <x:v>0</x:v>
      </x:c>
      <x:c r="I138" s="29" t="n">
        <x:v>200</x:v>
      </x:c>
      <x:c r="J138" s="36" t="n">
        <x:v>0</x:v>
      </x:c>
    </x:row>
    <x:row r="139">
      <x:c r="A139" s="28" t="str">
        <x:v>Holze2023</x:v>
      </x:c>
      <x:c r="B139" s="29" t="str">
        <x:v>Holze 2023</x:v>
      </x:c>
      <x:c r="C139" s="29" t="str">
        <x:v>placebo_inactif</x:v>
      </x:c>
      <x:c r="D139" s="29" t="str">
        <x:v>LSD</x:v>
      </x:c>
      <x:c r="E139" s="29" t="n">
        <x:v>42</x:v>
      </x:c>
      <x:c r="F139" s="29" t="str">
        <x:v>Insect bite</x:v>
      </x:c>
      <x:c r="G139" s="29" t="str">
        <x:v>follow_up</x:v>
      </x:c>
      <x:c r="H139" s="34" t="n">
        <x:v>0</x:v>
      </x:c>
      <x:c r="I139" s="29" t="n">
        <x:v>0</x:v>
      </x:c>
      <x:c r="J139" s="36" t="n">
        <x:v>0</x:v>
      </x:c>
    </x:row>
    <x:row r="140">
      <x:c r="A140" s="28" t="str">
        <x:v>Holze2023</x:v>
      </x:c>
      <x:c r="B140" s="29" t="str">
        <x:v>Holze 2023</x:v>
      </x:c>
      <x:c r="C140" s="29" t="str">
        <x:v>lsd_200ug</x:v>
      </x:c>
      <x:c r="D140" s="29" t="str">
        <x:v>LSD</x:v>
      </x:c>
      <x:c r="E140" s="29" t="n">
        <x:v>42</x:v>
      </x:c>
      <x:c r="F140" s="29" t="str">
        <x:v>Torticollis</x:v>
      </x:c>
      <x:c r="G140" s="29" t="str">
        <x:v>session</x:v>
      </x:c>
      <x:c r="H140" s="34" t="n">
        <x:v>0</x:v>
      </x:c>
      <x:c r="I140" s="29" t="n">
        <x:v>200</x:v>
      </x:c>
      <x:c r="J140" s="36" t="n">
        <x:v>0</x:v>
      </x:c>
    </x:row>
    <x:row r="141">
      <x:c r="A141" s="28" t="str">
        <x:v>Holze2023</x:v>
      </x:c>
      <x:c r="B141" s="29" t="str">
        <x:v>Holze 2023</x:v>
      </x:c>
      <x:c r="C141" s="29" t="str">
        <x:v>placebo_inactif</x:v>
      </x:c>
      <x:c r="D141" s="29" t="str">
        <x:v>LSD</x:v>
      </x:c>
      <x:c r="E141" s="29" t="n">
        <x:v>42</x:v>
      </x:c>
      <x:c r="F141" s="29" t="str">
        <x:v>Torticollis</x:v>
      </x:c>
      <x:c r="G141" s="29" t="str">
        <x:v>session</x:v>
      </x:c>
      <x:c r="H141" s="34" t="n">
        <x:v>0.023809523809523808</x:v>
      </x:c>
      <x:c r="I141" s="29" t="n">
        <x:v>0</x:v>
      </x:c>
      <x:c r="J141" s="36" t="n">
        <x:v>1</x:v>
      </x:c>
    </x:row>
    <x:row r="142">
      <x:c r="A142" s="28" t="str">
        <x:v>Holze2023</x:v>
      </x:c>
      <x:c r="B142" s="29" t="str">
        <x:v>Holze 2023</x:v>
      </x:c>
      <x:c r="C142" s="29" t="str">
        <x:v>lsd_200ug</x:v>
      </x:c>
      <x:c r="D142" s="29" t="str">
        <x:v>LSD</x:v>
      </x:c>
      <x:c r="E142" s="29" t="n">
        <x:v>42</x:v>
      </x:c>
      <x:c r="F142" s="29" t="str">
        <x:v>Torticollis</x:v>
      </x:c>
      <x:c r="G142" s="29" t="str">
        <x:v>follow_up</x:v>
      </x:c>
      <x:c r="H142" s="34" t="n">
        <x:v>0</x:v>
      </x:c>
      <x:c r="I142" s="29" t="n">
        <x:v>200</x:v>
      </x:c>
      <x:c r="J142" s="36" t="n">
        <x:v>0</x:v>
      </x:c>
    </x:row>
    <x:row r="143">
      <x:c r="A143" s="28" t="str">
        <x:v>Holze2023</x:v>
      </x:c>
      <x:c r="B143" s="29" t="str">
        <x:v>Holze 2023</x:v>
      </x:c>
      <x:c r="C143" s="29" t="str">
        <x:v>placebo_inactif</x:v>
      </x:c>
      <x:c r="D143" s="29" t="str">
        <x:v>LSD</x:v>
      </x:c>
      <x:c r="E143" s="29" t="n">
        <x:v>42</x:v>
      </x:c>
      <x:c r="F143" s="29" t="str">
        <x:v>Torticollis</x:v>
      </x:c>
      <x:c r="G143" s="29" t="str">
        <x:v>follow_up</x:v>
      </x:c>
      <x:c r="H143" s="34" t="n">
        <x:v>0</x:v>
      </x:c>
      <x:c r="I143" s="29" t="n">
        <x:v>0</x:v>
      </x:c>
      <x:c r="J143" s="36" t="n">
        <x:v>0</x:v>
      </x:c>
    </x:row>
    <x:row r="144">
      <x:c r="A144" s="28" t="str">
        <x:v>Holze2023</x:v>
      </x:c>
      <x:c r="B144" s="29" t="str">
        <x:v>Holze 2023</x:v>
      </x:c>
      <x:c r="C144" s="29" t="str">
        <x:v>lsd_200ug</x:v>
      </x:c>
      <x:c r="D144" s="29" t="str">
        <x:v>LSD</x:v>
      </x:c>
      <x:c r="E144" s="29" t="n">
        <x:v>42</x:v>
      </x:c>
      <x:c r="F144" s="29" t="str">
        <x:v>Eczema</x:v>
      </x:c>
      <x:c r="G144" s="29" t="str">
        <x:v>session</x:v>
      </x:c>
      <x:c r="H144" s="34" t="n">
        <x:v>0</x:v>
      </x:c>
      <x:c r="I144" s="29" t="n">
        <x:v>200</x:v>
      </x:c>
      <x:c r="J144" s="36" t="n">
        <x:v>0</x:v>
      </x:c>
    </x:row>
    <x:row r="145">
      <x:c r="A145" s="28" t="str">
        <x:v>Holze2023</x:v>
      </x:c>
      <x:c r="B145" s="29" t="str">
        <x:v>Holze 2023</x:v>
      </x:c>
      <x:c r="C145" s="29" t="str">
        <x:v>placebo_inactif</x:v>
      </x:c>
      <x:c r="D145" s="29" t="str">
        <x:v>LSD</x:v>
      </x:c>
      <x:c r="E145" s="29" t="n">
        <x:v>42</x:v>
      </x:c>
      <x:c r="F145" s="29" t="str">
        <x:v>Eczema</x:v>
      </x:c>
      <x:c r="G145" s="29" t="str">
        <x:v>session</x:v>
      </x:c>
      <x:c r="H145" s="34" t="n">
        <x:v>0</x:v>
      </x:c>
      <x:c r="I145" s="29" t="n">
        <x:v>0</x:v>
      </x:c>
      <x:c r="J145" s="36" t="n">
        <x:v>0</x:v>
      </x:c>
    </x:row>
    <x:row r="146">
      <x:c r="A146" s="28" t="str">
        <x:v>Holze2023</x:v>
      </x:c>
      <x:c r="B146" s="29" t="str">
        <x:v>Holze 2023</x:v>
      </x:c>
      <x:c r="C146" s="29" t="str">
        <x:v>lsd_200ug</x:v>
      </x:c>
      <x:c r="D146" s="29" t="str">
        <x:v>LSD</x:v>
      </x:c>
      <x:c r="E146" s="29" t="n">
        <x:v>42</x:v>
      </x:c>
      <x:c r="F146" s="29" t="str">
        <x:v>Eczema</x:v>
      </x:c>
      <x:c r="G146" s="29" t="str">
        <x:v>follow_up</x:v>
      </x:c>
      <x:c r="H146" s="34" t="n">
        <x:v>0.023809523809523808</x:v>
      </x:c>
      <x:c r="I146" s="29" t="n">
        <x:v>200</x:v>
      </x:c>
      <x:c r="J146" s="36" t="n">
        <x:v>1</x:v>
      </x:c>
    </x:row>
    <x:row r="147">
      <x:c r="A147" s="28" t="str">
        <x:v>Holze2023</x:v>
      </x:c>
      <x:c r="B147" s="29" t="str">
        <x:v>Holze 2023</x:v>
      </x:c>
      <x:c r="C147" s="29" t="str">
        <x:v>placebo_inactif</x:v>
      </x:c>
      <x:c r="D147" s="29" t="str">
        <x:v>LSD</x:v>
      </x:c>
      <x:c r="E147" s="29" t="n">
        <x:v>42</x:v>
      </x:c>
      <x:c r="F147" s="29" t="str">
        <x:v>Eczema</x:v>
      </x:c>
      <x:c r="G147" s="29" t="str">
        <x:v>follow_up</x:v>
      </x:c>
      <x:c r="H147" s="34" t="n">
        <x:v>0</x:v>
      </x:c>
      <x:c r="I147" s="29" t="n">
        <x:v>0</x:v>
      </x:c>
      <x:c r="J147" s="36" t="n">
        <x:v>0</x:v>
      </x:c>
    </x:row>
    <x:row r="148">
      <x:c r="A148" s="28" t="str">
        <x:v>Holze2023</x:v>
      </x:c>
      <x:c r="B148" s="29" t="str">
        <x:v>Holze 2023</x:v>
      </x:c>
      <x:c r="C148" s="29" t="str">
        <x:v>lsd_200ug</x:v>
      </x:c>
      <x:c r="D148" s="29" t="str">
        <x:v>LSD</x:v>
      </x:c>
      <x:c r="E148" s="29" t="n">
        <x:v>42</x:v>
      </x:c>
      <x:c r="F148" s="29" t="str">
        <x:v>Vaginalmycosis</x:v>
      </x:c>
      <x:c r="G148" s="29" t="str">
        <x:v>session</x:v>
      </x:c>
      <x:c r="H148" s="34" t="n">
        <x:v>0</x:v>
      </x:c>
      <x:c r="I148" s="29" t="n">
        <x:v>200</x:v>
      </x:c>
      <x:c r="J148" s="36" t="n">
        <x:v>0</x:v>
      </x:c>
    </x:row>
    <x:row r="149">
      <x:c r="A149" s="28" t="str">
        <x:v>Holze2023</x:v>
      </x:c>
      <x:c r="B149" s="29" t="str">
        <x:v>Holze 2023</x:v>
      </x:c>
      <x:c r="C149" s="29" t="str">
        <x:v>placebo_inactif</x:v>
      </x:c>
      <x:c r="D149" s="29" t="str">
        <x:v>LSD</x:v>
      </x:c>
      <x:c r="E149" s="29" t="n">
        <x:v>42</x:v>
      </x:c>
      <x:c r="F149" s="29" t="str">
        <x:v>Vaginalmycosis</x:v>
      </x:c>
      <x:c r="G149" s="29" t="str">
        <x:v>session</x:v>
      </x:c>
      <x:c r="H149" s="34" t="n">
        <x:v>0.023809523809523808</x:v>
      </x:c>
      <x:c r="I149" s="29" t="n">
        <x:v>0</x:v>
      </x:c>
      <x:c r="J149" s="36" t="n">
        <x:v>1</x:v>
      </x:c>
    </x:row>
    <x:row r="150">
      <x:c r="A150" s="28" t="str">
        <x:v>Holze2023</x:v>
      </x:c>
      <x:c r="B150" s="29" t="str">
        <x:v>Holze 2023</x:v>
      </x:c>
      <x:c r="C150" s="29" t="str">
        <x:v>lsd_200ug</x:v>
      </x:c>
      <x:c r="D150" s="29" t="str">
        <x:v>LSD</x:v>
      </x:c>
      <x:c r="E150" s="29" t="n">
        <x:v>42</x:v>
      </x:c>
      <x:c r="F150" s="29" t="str">
        <x:v>Vaginalmycosis</x:v>
      </x:c>
      <x:c r="G150" s="29" t="str">
        <x:v>follow_up</x:v>
      </x:c>
      <x:c r="H150" s="34" t="n">
        <x:v>0</x:v>
      </x:c>
      <x:c r="I150" s="29" t="n">
        <x:v>200</x:v>
      </x:c>
      <x:c r="J150" s="36" t="n">
        <x:v>0</x:v>
      </x:c>
    </x:row>
    <x:row r="151">
      <x:c r="A151" s="28" t="str">
        <x:v>Holze2023</x:v>
      </x:c>
      <x:c r="B151" s="29" t="str">
        <x:v>Holze 2023</x:v>
      </x:c>
      <x:c r="C151" s="29" t="str">
        <x:v>placebo_inactif</x:v>
      </x:c>
      <x:c r="D151" s="29" t="str">
        <x:v>LSD</x:v>
      </x:c>
      <x:c r="E151" s="29" t="n">
        <x:v>42</x:v>
      </x:c>
      <x:c r="F151" s="29" t="str">
        <x:v>Vaginalmycosis</x:v>
      </x:c>
      <x:c r="G151" s="29" t="str">
        <x:v>follow_up</x:v>
      </x:c>
      <x:c r="H151" s="34" t="n">
        <x:v>0</x:v>
      </x:c>
      <x:c r="I151" s="29" t="n">
        <x:v>0</x:v>
      </x:c>
      <x:c r="J151" s="36" t="n">
        <x:v>0</x:v>
      </x:c>
    </x:row>
    <x:row r="152">
      <x:c r="A152" s="28" t="str">
        <x:v>Holze2023</x:v>
      </x:c>
      <x:c r="B152" s="29" t="str">
        <x:v>Holze 2023</x:v>
      </x:c>
      <x:c r="C152" s="29" t="str">
        <x:v>lsd_200ug</x:v>
      </x:c>
      <x:c r="D152" s="29" t="str">
        <x:v>LSD</x:v>
      </x:c>
      <x:c r="E152" s="29" t="n">
        <x:v>42</x:v>
      </x:c>
      <x:c r="F152" s="29" t="str">
        <x:v>Urinary infection</x:v>
      </x:c>
      <x:c r="G152" s="29" t="str">
        <x:v>session</x:v>
      </x:c>
      <x:c r="H152" s="34" t="n">
        <x:v>0</x:v>
      </x:c>
      <x:c r="I152" s="29" t="n">
        <x:v>200</x:v>
      </x:c>
      <x:c r="J152" s="36" t="n">
        <x:v>0</x:v>
      </x:c>
    </x:row>
    <x:row r="153">
      <x:c r="A153" s="28" t="str">
        <x:v>Holze2023</x:v>
      </x:c>
      <x:c r="B153" s="29" t="str">
        <x:v>Holze 2023</x:v>
      </x:c>
      <x:c r="C153" s="29" t="str">
        <x:v>placebo_inactif</x:v>
      </x:c>
      <x:c r="D153" s="29" t="str">
        <x:v>LSD</x:v>
      </x:c>
      <x:c r="E153" s="29" t="n">
        <x:v>42</x:v>
      </x:c>
      <x:c r="F153" s="29" t="str">
        <x:v>Urinary infection</x:v>
      </x:c>
      <x:c r="G153" s="29" t="str">
        <x:v>session</x:v>
      </x:c>
      <x:c r="H153" s="34" t="n">
        <x:v>0</x:v>
      </x:c>
      <x:c r="I153" s="29" t="n">
        <x:v>0</x:v>
      </x:c>
      <x:c r="J153" s="36" t="n">
        <x:v>0</x:v>
      </x:c>
    </x:row>
    <x:row r="154">
      <x:c r="A154" s="28" t="str">
        <x:v>Holze2023</x:v>
      </x:c>
      <x:c r="B154" s="29" t="str">
        <x:v>Holze 2023</x:v>
      </x:c>
      <x:c r="C154" s="29" t="str">
        <x:v>lsd_200ug</x:v>
      </x:c>
      <x:c r="D154" s="29" t="str">
        <x:v>LSD</x:v>
      </x:c>
      <x:c r="E154" s="29" t="n">
        <x:v>42</x:v>
      </x:c>
      <x:c r="F154" s="29" t="str">
        <x:v>Urinary infection</x:v>
      </x:c>
      <x:c r="G154" s="29" t="str">
        <x:v>follow_up</x:v>
      </x:c>
      <x:c r="H154" s="34" t="n">
        <x:v>0</x:v>
      </x:c>
      <x:c r="I154" s="29" t="n">
        <x:v>200</x:v>
      </x:c>
      <x:c r="J154" s="36" t="n">
        <x:v>0</x:v>
      </x:c>
    </x:row>
    <x:row r="155">
      <x:c r="A155" s="28" t="str">
        <x:v>Holze2023</x:v>
      </x:c>
      <x:c r="B155" s="29" t="str">
        <x:v>Holze 2023</x:v>
      </x:c>
      <x:c r="C155" s="29" t="str">
        <x:v>placebo_inactif</x:v>
      </x:c>
      <x:c r="D155" s="29" t="str">
        <x:v>LSD</x:v>
      </x:c>
      <x:c r="E155" s="29" t="n">
        <x:v>42</x:v>
      </x:c>
      <x:c r="F155" s="29" t="str">
        <x:v>Urinary infection</x:v>
      </x:c>
      <x:c r="G155" s="29" t="str">
        <x:v>follow_up</x:v>
      </x:c>
      <x:c r="H155" s="34" t="n">
        <x:v>0.023809523809523808</x:v>
      </x:c>
      <x:c r="I155" s="29" t="n">
        <x:v>0</x:v>
      </x:c>
      <x:c r="J155" s="36" t="n">
        <x:v>1</x:v>
      </x:c>
    </x:row>
    <x:row r="156">
      <x:c r="A156" s="28" t="str">
        <x:v>Holze2023</x:v>
      </x:c>
      <x:c r="B156" s="29" t="str">
        <x:v>Holze 2023</x:v>
      </x:c>
      <x:c r="C156" s="29" t="str">
        <x:v>lsd_200ug</x:v>
      </x:c>
      <x:c r="D156" s="29" t="str">
        <x:v>LSD</x:v>
      </x:c>
      <x:c r="E156" s="29" t="n">
        <x:v>42</x:v>
      </x:c>
      <x:c r="F156" s="29" t="str">
        <x:v>Toothache</x:v>
      </x:c>
      <x:c r="G156" s="29" t="str">
        <x:v>session</x:v>
      </x:c>
      <x:c r="H156" s="34" t="n">
        <x:v>0</x:v>
      </x:c>
      <x:c r="I156" s="29" t="n">
        <x:v>200</x:v>
      </x:c>
      <x:c r="J156" s="36" t="n">
        <x:v>0</x:v>
      </x:c>
    </x:row>
    <x:row r="157">
      <x:c r="A157" s="28" t="str">
        <x:v>Holze2023</x:v>
      </x:c>
      <x:c r="B157" s="29" t="str">
        <x:v>Holze 2023</x:v>
      </x:c>
      <x:c r="C157" s="29" t="str">
        <x:v>placebo_inactif</x:v>
      </x:c>
      <x:c r="D157" s="29" t="str">
        <x:v>LSD</x:v>
      </x:c>
      <x:c r="E157" s="29" t="n">
        <x:v>42</x:v>
      </x:c>
      <x:c r="F157" s="29" t="str">
        <x:v>Toothache</x:v>
      </x:c>
      <x:c r="G157" s="29" t="str">
        <x:v>session</x:v>
      </x:c>
      <x:c r="H157" s="34" t="n">
        <x:v>0.023809523809523808</x:v>
      </x:c>
      <x:c r="I157" s="29" t="n">
        <x:v>0</x:v>
      </x:c>
      <x:c r="J157" s="36" t="n">
        <x:v>1</x:v>
      </x:c>
    </x:row>
    <x:row r="158">
      <x:c r="A158" s="28" t="str">
        <x:v>Holze2023</x:v>
      </x:c>
      <x:c r="B158" s="29" t="str">
        <x:v>Holze 2023</x:v>
      </x:c>
      <x:c r="C158" s="29" t="str">
        <x:v>lsd_200ug</x:v>
      </x:c>
      <x:c r="D158" s="29" t="str">
        <x:v>LSD</x:v>
      </x:c>
      <x:c r="E158" s="29" t="n">
        <x:v>42</x:v>
      </x:c>
      <x:c r="F158" s="29" t="str">
        <x:v>Toothache</x:v>
      </x:c>
      <x:c r="G158" s="29" t="str">
        <x:v>follow_up</x:v>
      </x:c>
      <x:c r="H158" s="34" t="n">
        <x:v>0</x:v>
      </x:c>
      <x:c r="I158" s="29" t="n">
        <x:v>200</x:v>
      </x:c>
      <x:c r="J158" s="36" t="n">
        <x:v>0</x:v>
      </x:c>
    </x:row>
    <x:row r="159">
      <x:c r="A159" s="28" t="str">
        <x:v>Holze2023</x:v>
      </x:c>
      <x:c r="B159" s="29" t="str">
        <x:v>Holze 2023</x:v>
      </x:c>
      <x:c r="C159" s="29" t="str">
        <x:v>placebo_inactif</x:v>
      </x:c>
      <x:c r="D159" s="29" t="str">
        <x:v>LSD</x:v>
      </x:c>
      <x:c r="E159" s="29" t="n">
        <x:v>42</x:v>
      </x:c>
      <x:c r="F159" s="29" t="str">
        <x:v>Toothache</x:v>
      </x:c>
      <x:c r="G159" s="29" t="str">
        <x:v>follow_up</x:v>
      </x:c>
      <x:c r="H159" s="34" t="n">
        <x:v>0</x:v>
      </x:c>
      <x:c r="I159" s="29" t="n">
        <x:v>0</x:v>
      </x:c>
      <x:c r="J159" s="36" t="n">
        <x:v>0</x:v>
      </x:c>
    </x:row>
    <x:row r="160">
      <x:c r="A160" s="28" t="str">
        <x:v>Holze2023</x:v>
      </x:c>
      <x:c r="B160" s="29" t="str">
        <x:v>Holze 2023</x:v>
      </x:c>
      <x:c r="C160" s="29" t="str">
        <x:v>lsd_200ug</x:v>
      </x:c>
      <x:c r="D160" s="29" t="str">
        <x:v>LSD</x:v>
      </x:c>
      <x:c r="E160" s="29" t="n">
        <x:v>42</x:v>
      </x:c>
      <x:c r="F160" s="29" t="str">
        <x:v>Dizziness after deduction of escitalopram</x:v>
      </x:c>
      <x:c r="G160" s="29" t="str">
        <x:v>session</x:v>
      </x:c>
      <x:c r="H160" s="34" t="n">
        <x:v>0.023809523809523808</x:v>
      </x:c>
      <x:c r="I160" s="29" t="n">
        <x:v>200</x:v>
      </x:c>
      <x:c r="J160" s="36" t="n">
        <x:v>1</x:v>
      </x:c>
    </x:row>
    <x:row r="161">
      <x:c r="A161" s="28" t="str">
        <x:v>Holze2023</x:v>
      </x:c>
      <x:c r="B161" s="29" t="str">
        <x:v>Holze 2023</x:v>
      </x:c>
      <x:c r="C161" s="29" t="str">
        <x:v>placebo_inactif</x:v>
      </x:c>
      <x:c r="D161" s="29" t="str">
        <x:v>LSD</x:v>
      </x:c>
      <x:c r="E161" s="29" t="n">
        <x:v>42</x:v>
      </x:c>
      <x:c r="F161" s="29" t="str">
        <x:v>Dizziness after deduction of escitalopram</x:v>
      </x:c>
      <x:c r="G161" s="29" t="str">
        <x:v>session</x:v>
      </x:c>
      <x:c r="H161" s="34" t="n">
        <x:v>0</x:v>
      </x:c>
      <x:c r="I161" s="29" t="n">
        <x:v>0</x:v>
      </x:c>
      <x:c r="J161" s="36" t="n">
        <x:v>0</x:v>
      </x:c>
    </x:row>
    <x:row r="162">
      <x:c r="A162" s="28" t="str">
        <x:v>Holze2023</x:v>
      </x:c>
      <x:c r="B162" s="29" t="str">
        <x:v>Holze 2023</x:v>
      </x:c>
      <x:c r="C162" s="29" t="str">
        <x:v>lsd_200ug</x:v>
      </x:c>
      <x:c r="D162" s="29" t="str">
        <x:v>LSD</x:v>
      </x:c>
      <x:c r="E162" s="29" t="n">
        <x:v>42</x:v>
      </x:c>
      <x:c r="F162" s="29" t="str">
        <x:v>Dizziness after deduction of escitalopram</x:v>
      </x:c>
      <x:c r="G162" s="29" t="str">
        <x:v>follow_up</x:v>
      </x:c>
      <x:c r="H162" s="34" t="n">
        <x:v>0</x:v>
      </x:c>
      <x:c r="I162" s="29" t="n">
        <x:v>200</x:v>
      </x:c>
      <x:c r="J162" s="36" t="n">
        <x:v>0</x:v>
      </x:c>
    </x:row>
    <x:row r="163">
      <x:c r="A163" s="28" t="str">
        <x:v>Holze2023</x:v>
      </x:c>
      <x:c r="B163" s="29" t="str">
        <x:v>Holze 2023</x:v>
      </x:c>
      <x:c r="C163" s="29" t="str">
        <x:v>placebo_inactif</x:v>
      </x:c>
      <x:c r="D163" s="29" t="str">
        <x:v>LSD</x:v>
      </x:c>
      <x:c r="E163" s="29" t="n">
        <x:v>42</x:v>
      </x:c>
      <x:c r="F163" s="29" t="str">
        <x:v>Dizziness after deduction of escitalopram</x:v>
      </x:c>
      <x:c r="G163" s="29" t="str">
        <x:v>follow_up</x:v>
      </x:c>
      <x:c r="H163" s="34" t="n">
        <x:v>0</x:v>
      </x:c>
      <x:c r="I163" s="29" t="n">
        <x:v>0</x:v>
      </x:c>
      <x:c r="J163" s="36" t="n">
        <x:v>0</x:v>
      </x:c>
    </x:row>
    <x:row r="164">
      <x:c r="A164" s="28" t="str">
        <x:v>Holze2023</x:v>
      </x:c>
      <x:c r="B164" s="29" t="str">
        <x:v>Holze 2023</x:v>
      </x:c>
      <x:c r="C164" s="29" t="str">
        <x:v>lsd_200ug</x:v>
      </x:c>
      <x:c r="D164" s="29" t="str">
        <x:v>LSD</x:v>
      </x:c>
      <x:c r="E164" s="29" t="n">
        <x:v>42</x:v>
      </x:c>
      <x:c r="F164" s="29" t="str">
        <x:v>Groin and testicle pain</x:v>
      </x:c>
      <x:c r="G164" s="29" t="str">
        <x:v>session</x:v>
      </x:c>
      <x:c r="H164" s="34" t="n">
        <x:v>0.023809523809523808</x:v>
      </x:c>
      <x:c r="I164" s="29" t="n">
        <x:v>200</x:v>
      </x:c>
      <x:c r="J164" s="36" t="n">
        <x:v>1</x:v>
      </x:c>
    </x:row>
    <x:row r="165">
      <x:c r="A165" s="28" t="str">
        <x:v>Holze2023</x:v>
      </x:c>
      <x:c r="B165" s="29" t="str">
        <x:v>Holze 2023</x:v>
      </x:c>
      <x:c r="C165" s="29" t="str">
        <x:v>placebo_inactif</x:v>
      </x:c>
      <x:c r="D165" s="29" t="str">
        <x:v>LSD</x:v>
      </x:c>
      <x:c r="E165" s="29" t="n">
        <x:v>42</x:v>
      </x:c>
      <x:c r="F165" s="29" t="str">
        <x:v>Groin and testicle pain</x:v>
      </x:c>
      <x:c r="G165" s="29" t="str">
        <x:v>session</x:v>
      </x:c>
      <x:c r="H165" s="34" t="n">
        <x:v>0</x:v>
      </x:c>
      <x:c r="I165" s="29" t="n">
        <x:v>0</x:v>
      </x:c>
      <x:c r="J165" s="36" t="n">
        <x:v>0</x:v>
      </x:c>
    </x:row>
    <x:row r="166">
      <x:c r="A166" s="28" t="str">
        <x:v>Holze2023</x:v>
      </x:c>
      <x:c r="B166" s="29" t="str">
        <x:v>Holze 2023</x:v>
      </x:c>
      <x:c r="C166" s="29" t="str">
        <x:v>lsd_200ug</x:v>
      </x:c>
      <x:c r="D166" s="29" t="str">
        <x:v>LSD</x:v>
      </x:c>
      <x:c r="E166" s="29" t="n">
        <x:v>42</x:v>
      </x:c>
      <x:c r="F166" s="29" t="str">
        <x:v>Groin and testicle pain</x:v>
      </x:c>
      <x:c r="G166" s="29" t="str">
        <x:v>follow_up</x:v>
      </x:c>
      <x:c r="H166" s="34" t="n">
        <x:v>0</x:v>
      </x:c>
      <x:c r="I166" s="29" t="n">
        <x:v>200</x:v>
      </x:c>
      <x:c r="J166" s="36" t="n">
        <x:v>0</x:v>
      </x:c>
    </x:row>
    <x:row r="167">
      <x:c r="A167" s="28" t="str">
        <x:v>Holze2023</x:v>
      </x:c>
      <x:c r="B167" s="29" t="str">
        <x:v>Holze 2023</x:v>
      </x:c>
      <x:c r="C167" s="29" t="str">
        <x:v>placebo_inactif</x:v>
      </x:c>
      <x:c r="D167" s="29" t="str">
        <x:v>LSD</x:v>
      </x:c>
      <x:c r="E167" s="29" t="n">
        <x:v>42</x:v>
      </x:c>
      <x:c r="F167" s="29" t="str">
        <x:v>Groin and testicle pain</x:v>
      </x:c>
      <x:c r="G167" s="29" t="str">
        <x:v>follow_up</x:v>
      </x:c>
      <x:c r="H167" s="34" t="n">
        <x:v>0</x:v>
      </x:c>
      <x:c r="I167" s="29" t="n">
        <x:v>0</x:v>
      </x:c>
      <x:c r="J167" s="36" t="n">
        <x:v>0</x:v>
      </x:c>
    </x:row>
    <x:row r="168">
      <x:c r="A168" s="28" t="str">
        <x:v>Holze2023</x:v>
      </x:c>
      <x:c r="B168" s="29" t="str">
        <x:v>Holze 2023</x:v>
      </x:c>
      <x:c r="C168" s="29" t="str">
        <x:v>lsd_200ug</x:v>
      </x:c>
      <x:c r="D168" s="29" t="str">
        <x:v>LSD</x:v>
      </x:c>
      <x:c r="E168" s="29" t="n">
        <x:v>42</x:v>
      </x:c>
      <x:c r="F168" s="29" t="str">
        <x:v>Shingles</x:v>
      </x:c>
      <x:c r="G168" s="29" t="str">
        <x:v>session</x:v>
      </x:c>
      <x:c r="H168" s="34" t="n">
        <x:v>0</x:v>
      </x:c>
      <x:c r="I168" s="29" t="n">
        <x:v>200</x:v>
      </x:c>
      <x:c r="J168" s="36" t="n">
        <x:v>0</x:v>
      </x:c>
    </x:row>
    <x:row r="169">
      <x:c r="A169" s="28" t="str">
        <x:v>Holze2023</x:v>
      </x:c>
      <x:c r="B169" s="29" t="str">
        <x:v>Holze 2023</x:v>
      </x:c>
      <x:c r="C169" s="29" t="str">
        <x:v>placebo_inactif</x:v>
      </x:c>
      <x:c r="D169" s="29" t="str">
        <x:v>LSD</x:v>
      </x:c>
      <x:c r="E169" s="29" t="n">
        <x:v>42</x:v>
      </x:c>
      <x:c r="F169" s="29" t="str">
        <x:v>Shingles</x:v>
      </x:c>
      <x:c r="G169" s="29" t="str">
        <x:v>session</x:v>
      </x:c>
      <x:c r="H169" s="34" t="n">
        <x:v>0.023809523809523808</x:v>
      </x:c>
      <x:c r="I169" s="29" t="n">
        <x:v>0</x:v>
      </x:c>
      <x:c r="J169" s="36" t="n">
        <x:v>1</x:v>
      </x:c>
    </x:row>
    <x:row r="170">
      <x:c r="A170" s="28" t="str">
        <x:v>Holze2023</x:v>
      </x:c>
      <x:c r="B170" s="29" t="str">
        <x:v>Holze 2023</x:v>
      </x:c>
      <x:c r="C170" s="29" t="str">
        <x:v>lsd_200ug</x:v>
      </x:c>
      <x:c r="D170" s="29" t="str">
        <x:v>LSD</x:v>
      </x:c>
      <x:c r="E170" s="29" t="n">
        <x:v>42</x:v>
      </x:c>
      <x:c r="F170" s="29" t="str">
        <x:v>Shingles</x:v>
      </x:c>
      <x:c r="G170" s="29" t="str">
        <x:v>follow_up</x:v>
      </x:c>
      <x:c r="H170" s="34" t="n">
        <x:v>0</x:v>
      </x:c>
      <x:c r="I170" s="29" t="n">
        <x:v>200</x:v>
      </x:c>
      <x:c r="J170" s="36" t="n">
        <x:v>0</x:v>
      </x:c>
    </x:row>
    <x:row r="171">
      <x:c r="A171" s="28" t="str">
        <x:v>Holze2023</x:v>
      </x:c>
      <x:c r="B171" s="29" t="str">
        <x:v>Holze 2023</x:v>
      </x:c>
      <x:c r="C171" s="29" t="str">
        <x:v>placebo_inactif</x:v>
      </x:c>
      <x:c r="D171" s="29" t="str">
        <x:v>LSD</x:v>
      </x:c>
      <x:c r="E171" s="29" t="n">
        <x:v>42</x:v>
      </x:c>
      <x:c r="F171" s="29" t="str">
        <x:v>Shingles</x:v>
      </x:c>
      <x:c r="G171" s="29" t="str">
        <x:v>follow_up</x:v>
      </x:c>
      <x:c r="H171" s="34" t="n">
        <x:v>0</x:v>
      </x:c>
      <x:c r="I171" s="29" t="n">
        <x:v>0</x:v>
      </x:c>
      <x:c r="J171" s="36" t="n">
        <x:v>0</x:v>
      </x:c>
    </x:row>
    <x:row r="172">
      <x:c r="A172" s="28" t="str">
        <x:v>Holze2023</x:v>
      </x:c>
      <x:c r="B172" s="29" t="str">
        <x:v>Holze 2023</x:v>
      </x:c>
      <x:c r="C172" s="29" t="str">
        <x:v>lsd_200ug</x:v>
      </x:c>
      <x:c r="D172" s="29" t="str">
        <x:v>LSD</x:v>
      </x:c>
      <x:c r="E172" s="29" t="n">
        <x:v>42</x:v>
      </x:c>
      <x:c r="F172" s="29" t="str">
        <x:v>Ischialgia</x:v>
      </x:c>
      <x:c r="G172" s="29" t="str">
        <x:v>session</x:v>
      </x:c>
      <x:c r="H172" s="34" t="n">
        <x:v>0</x:v>
      </x:c>
      <x:c r="I172" s="29" t="n">
        <x:v>200</x:v>
      </x:c>
      <x:c r="J172" s="36" t="n">
        <x:v>0</x:v>
      </x:c>
    </x:row>
    <x:row r="173">
      <x:c r="A173" s="28" t="str">
        <x:v>Holze2023</x:v>
      </x:c>
      <x:c r="B173" s="29" t="str">
        <x:v>Holze 2023</x:v>
      </x:c>
      <x:c r="C173" s="29" t="str">
        <x:v>placebo_inactif</x:v>
      </x:c>
      <x:c r="D173" s="29" t="str">
        <x:v>LSD</x:v>
      </x:c>
      <x:c r="E173" s="29" t="n">
        <x:v>42</x:v>
      </x:c>
      <x:c r="F173" s="29" t="str">
        <x:v>Ischialgia</x:v>
      </x:c>
      <x:c r="G173" s="29" t="str">
        <x:v>session</x:v>
      </x:c>
      <x:c r="H173" s="34" t="n">
        <x:v>0</x:v>
      </x:c>
      <x:c r="I173" s="29" t="n">
        <x:v>0</x:v>
      </x:c>
      <x:c r="J173" s="36" t="n">
        <x:v>0</x:v>
      </x:c>
    </x:row>
    <x:row r="174">
      <x:c r="A174" s="28" t="str">
        <x:v>Holze2023</x:v>
      </x:c>
      <x:c r="B174" s="29" t="str">
        <x:v>Holze 2023</x:v>
      </x:c>
      <x:c r="C174" s="29" t="str">
        <x:v>lsd_200ug</x:v>
      </x:c>
      <x:c r="D174" s="29" t="str">
        <x:v>LSD</x:v>
      </x:c>
      <x:c r="E174" s="29" t="n">
        <x:v>42</x:v>
      </x:c>
      <x:c r="F174" s="29" t="str">
        <x:v>Ischialgia</x:v>
      </x:c>
      <x:c r="G174" s="29" t="str">
        <x:v>follow_up</x:v>
      </x:c>
      <x:c r="H174" s="34" t="n">
        <x:v>0</x:v>
      </x:c>
      <x:c r="I174" s="29" t="n">
        <x:v>200</x:v>
      </x:c>
      <x:c r="J174" s="36" t="n">
        <x:v>0</x:v>
      </x:c>
    </x:row>
    <x:row r="175">
      <x:c r="A175" s="28" t="str">
        <x:v>Holze2023</x:v>
      </x:c>
      <x:c r="B175" s="29" t="str">
        <x:v>Holze 2023</x:v>
      </x:c>
      <x:c r="C175" s="29" t="str">
        <x:v>placebo_inactif</x:v>
      </x:c>
      <x:c r="D175" s="29" t="str">
        <x:v>LSD</x:v>
      </x:c>
      <x:c r="E175" s="29" t="n">
        <x:v>42</x:v>
      </x:c>
      <x:c r="F175" s="29" t="str">
        <x:v>Ischialgia</x:v>
      </x:c>
      <x:c r="G175" s="29" t="str">
        <x:v>follow_up</x:v>
      </x:c>
      <x:c r="H175" s="34" t="n">
        <x:v>0.023809523809523808</x:v>
      </x:c>
      <x:c r="I175" s="29" t="n">
        <x:v>0</x:v>
      </x:c>
      <x:c r="J175" s="36" t="n">
        <x:v>1</x:v>
      </x:c>
    </x:row>
    <x:row r="176">
      <x:c r="A176" s="28" t="str">
        <x:v>Holze2023</x:v>
      </x:c>
      <x:c r="B176" s="29" t="str">
        <x:v>Holze 2023</x:v>
      </x:c>
      <x:c r="C176" s="29" t="str">
        <x:v>lsd_200ug</x:v>
      </x:c>
      <x:c r="D176" s="29" t="str">
        <x:v>LSD</x:v>
      </x:c>
      <x:c r="E176" s="29" t="n">
        <x:v>42</x:v>
      </x:c>
      <x:c r="F176" s="29" t="str">
        <x:v>Whiteness tooth dissection</x:v>
      </x:c>
      <x:c r="G176" s="29" t="str">
        <x:v>session</x:v>
      </x:c>
      <x:c r="H176" s="34" t="n">
        <x:v>0</x:v>
      </x:c>
      <x:c r="I176" s="29" t="n">
        <x:v>200</x:v>
      </x:c>
      <x:c r="J176" s="36" t="n">
        <x:v>0</x:v>
      </x:c>
    </x:row>
    <x:row r="177">
      <x:c r="A177" s="28" t="str">
        <x:v>Holze2023</x:v>
      </x:c>
      <x:c r="B177" s="29" t="str">
        <x:v>Holze 2023</x:v>
      </x:c>
      <x:c r="C177" s="29" t="str">
        <x:v>placebo_inactif</x:v>
      </x:c>
      <x:c r="D177" s="29" t="str">
        <x:v>LSD</x:v>
      </x:c>
      <x:c r="E177" s="29" t="n">
        <x:v>42</x:v>
      </x:c>
      <x:c r="F177" s="29" t="str">
        <x:v>Whiteness tooth dissection</x:v>
      </x:c>
      <x:c r="G177" s="29" t="str">
        <x:v>session</x:v>
      </x:c>
      <x:c r="H177" s="34" t="n">
        <x:v>0</x:v>
      </x:c>
      <x:c r="I177" s="29" t="n">
        <x:v>0</x:v>
      </x:c>
      <x:c r="J177" s="36" t="n">
        <x:v>0</x:v>
      </x:c>
    </x:row>
    <x:row r="178">
      <x:c r="A178" s="28" t="str">
        <x:v>Holze2023</x:v>
      </x:c>
      <x:c r="B178" s="29" t="str">
        <x:v>Holze 2023</x:v>
      </x:c>
      <x:c r="C178" s="29" t="str">
        <x:v>lsd_200ug</x:v>
      </x:c>
      <x:c r="D178" s="29" t="str">
        <x:v>LSD</x:v>
      </x:c>
      <x:c r="E178" s="29" t="n">
        <x:v>42</x:v>
      </x:c>
      <x:c r="F178" s="29" t="str">
        <x:v>Whiteness tooth dissection</x:v>
      </x:c>
      <x:c r="G178" s="29" t="str">
        <x:v>follow_up</x:v>
      </x:c>
      <x:c r="H178" s="34" t="n">
        <x:v>0</x:v>
      </x:c>
      <x:c r="I178" s="29" t="n">
        <x:v>200</x:v>
      </x:c>
      <x:c r="J178" s="36" t="n">
        <x:v>0</x:v>
      </x:c>
    </x:row>
    <x:row r="179">
      <x:c r="A179" s="28" t="str">
        <x:v>Holze2023</x:v>
      </x:c>
      <x:c r="B179" s="29" t="str">
        <x:v>Holze 2023</x:v>
      </x:c>
      <x:c r="C179" s="29" t="str">
        <x:v>placebo_inactif</x:v>
      </x:c>
      <x:c r="D179" s="29" t="str">
        <x:v>LSD</x:v>
      </x:c>
      <x:c r="E179" s="29" t="n">
        <x:v>42</x:v>
      </x:c>
      <x:c r="F179" s="29" t="str">
        <x:v>Whiteness tooth dissection</x:v>
      </x:c>
      <x:c r="G179" s="29" t="str">
        <x:v>follow_up</x:v>
      </x:c>
      <x:c r="H179" s="34" t="n">
        <x:v>0.023809523809523808</x:v>
      </x:c>
      <x:c r="I179" s="29" t="n">
        <x:v>0</x:v>
      </x:c>
      <x:c r="J179" s="36" t="n">
        <x:v>1</x:v>
      </x:c>
    </x:row>
    <x:row r="180">
      <x:c r="A180" s="28" t="str">
        <x:v>Holze2023</x:v>
      </x:c>
      <x:c r="B180" s="29" t="str">
        <x:v>Holze 2023</x:v>
      </x:c>
      <x:c r="C180" s="29" t="str">
        <x:v>lsd_200ug</x:v>
      </x:c>
      <x:c r="D180" s="29" t="str">
        <x:v>LSD</x:v>
      </x:c>
      <x:c r="E180" s="29" t="n">
        <x:v>42</x:v>
      </x:c>
      <x:c r="F180" s="29" t="str">
        <x:v>Fall</x:v>
      </x:c>
      <x:c r="G180" s="29" t="str">
        <x:v>session</x:v>
      </x:c>
      <x:c r="H180" s="34" t="n">
        <x:v>0.023809523809523808</x:v>
      </x:c>
      <x:c r="I180" s="29" t="n">
        <x:v>200</x:v>
      </x:c>
      <x:c r="J180" s="36" t="n">
        <x:v>1</x:v>
      </x:c>
    </x:row>
    <x:row r="181">
      <x:c r="A181" s="28" t="str">
        <x:v>Holze2023</x:v>
      </x:c>
      <x:c r="B181" s="29" t="str">
        <x:v>Holze 2023</x:v>
      </x:c>
      <x:c r="C181" s="29" t="str">
        <x:v>placebo_inactif</x:v>
      </x:c>
      <x:c r="D181" s="29" t="str">
        <x:v>LSD</x:v>
      </x:c>
      <x:c r="E181" s="29" t="n">
        <x:v>42</x:v>
      </x:c>
      <x:c r="F181" s="29" t="str">
        <x:v>Fall</x:v>
      </x:c>
      <x:c r="G181" s="29" t="str">
        <x:v>session</x:v>
      </x:c>
      <x:c r="H181" s="34" t="n">
        <x:v>0</x:v>
      </x:c>
      <x:c r="I181" s="29" t="n">
        <x:v>0</x:v>
      </x:c>
      <x:c r="J181" s="36" t="n">
        <x:v>0</x:v>
      </x:c>
    </x:row>
    <x:row r="182">
      <x:c r="A182" s="28" t="str">
        <x:v>Holze2023</x:v>
      </x:c>
      <x:c r="B182" s="29" t="str">
        <x:v>Holze 2023</x:v>
      </x:c>
      <x:c r="C182" s="29" t="str">
        <x:v>lsd_200ug</x:v>
      </x:c>
      <x:c r="D182" s="29" t="str">
        <x:v>LSD</x:v>
      </x:c>
      <x:c r="E182" s="29" t="n">
        <x:v>42</x:v>
      </x:c>
      <x:c r="F182" s="29" t="str">
        <x:v>Fall</x:v>
      </x:c>
      <x:c r="G182" s="29" t="str">
        <x:v>follow_up</x:v>
      </x:c>
      <x:c r="H182" s="34" t="n">
        <x:v>0</x:v>
      </x:c>
      <x:c r="I182" s="29" t="n">
        <x:v>200</x:v>
      </x:c>
      <x:c r="J182" s="36" t="n">
        <x:v>0</x:v>
      </x:c>
    </x:row>
    <x:row r="183">
      <x:c r="A183" s="28" t="str">
        <x:v>Holze2023</x:v>
      </x:c>
      <x:c r="B183" s="29" t="str">
        <x:v>Holze 2023</x:v>
      </x:c>
      <x:c r="C183" s="29" t="str">
        <x:v>placebo_inactif</x:v>
      </x:c>
      <x:c r="D183" s="29" t="str">
        <x:v>LSD</x:v>
      </x:c>
      <x:c r="E183" s="29" t="n">
        <x:v>42</x:v>
      </x:c>
      <x:c r="F183" s="29" t="str">
        <x:v>Fall</x:v>
      </x:c>
      <x:c r="G183" s="29" t="str">
        <x:v>follow_up</x:v>
      </x:c>
      <x:c r="H183" s="34" t="n">
        <x:v>0</x:v>
      </x:c>
      <x:c r="I183" s="29" t="n">
        <x:v>0</x:v>
      </x:c>
      <x:c r="J183" s="36" t="n">
        <x:v>0</x:v>
      </x:c>
    </x:row>
    <x:row r="184">
      <x:c r="A184" s="28" t="str">
        <x:v>Holze2023</x:v>
      </x:c>
      <x:c r="B184" s="29" t="str">
        <x:v>Holze 2023</x:v>
      </x:c>
      <x:c r="C184" s="29" t="str">
        <x:v>lsd_200ug</x:v>
      </x:c>
      <x:c r="D184" s="29" t="str">
        <x:v>LSD</x:v>
      </x:c>
      <x:c r="E184" s="29" t="n">
        <x:v>42</x:v>
      </x:c>
      <x:c r="F184" s="29" t="str">
        <x:v>Hypercholesterinemia</x:v>
      </x:c>
      <x:c r="G184" s="29" t="str">
        <x:v>session</x:v>
      </x:c>
      <x:c r="H184" s="34" t="n">
        <x:v>0</x:v>
      </x:c>
      <x:c r="I184" s="29" t="n">
        <x:v>200</x:v>
      </x:c>
      <x:c r="J184" s="36" t="n">
        <x:v>0</x:v>
      </x:c>
    </x:row>
    <x:row r="185">
      <x:c r="A185" s="28" t="str">
        <x:v>Holze2023</x:v>
      </x:c>
      <x:c r="B185" s="29" t="str">
        <x:v>Holze 2023</x:v>
      </x:c>
      <x:c r="C185" s="29" t="str">
        <x:v>placebo_inactif</x:v>
      </x:c>
      <x:c r="D185" s="29" t="str">
        <x:v>LSD</x:v>
      </x:c>
      <x:c r="E185" s="29" t="n">
        <x:v>42</x:v>
      </x:c>
      <x:c r="F185" s="29" t="str">
        <x:v>Hypercholesterinemia</x:v>
      </x:c>
      <x:c r="G185" s="29" t="str">
        <x:v>session</x:v>
      </x:c>
      <x:c r="H185" s="34" t="n">
        <x:v>0.023809523809523808</x:v>
      </x:c>
      <x:c r="I185" s="29" t="n">
        <x:v>0</x:v>
      </x:c>
      <x:c r="J185" s="36" t="n">
        <x:v>1</x:v>
      </x:c>
    </x:row>
    <x:row r="186">
      <x:c r="A186" s="28" t="str">
        <x:v>Holze2023</x:v>
      </x:c>
      <x:c r="B186" s="29" t="str">
        <x:v>Holze 2023</x:v>
      </x:c>
      <x:c r="C186" s="29" t="str">
        <x:v>lsd_200ug</x:v>
      </x:c>
      <x:c r="D186" s="29" t="str">
        <x:v>LSD</x:v>
      </x:c>
      <x:c r="E186" s="29" t="n">
        <x:v>42</x:v>
      </x:c>
      <x:c r="F186" s="29" t="str">
        <x:v>Hypercholesterinemia</x:v>
      </x:c>
      <x:c r="G186" s="29" t="str">
        <x:v>follow_up</x:v>
      </x:c>
      <x:c r="H186" s="34" t="n">
        <x:v>0</x:v>
      </x:c>
      <x:c r="I186" s="29" t="n">
        <x:v>200</x:v>
      </x:c>
      <x:c r="J186" s="36" t="n">
        <x:v>0</x:v>
      </x:c>
    </x:row>
    <x:row r="187">
      <x:c r="A187" s="28" t="str">
        <x:v>Holze2023</x:v>
      </x:c>
      <x:c r="B187" s="29" t="str">
        <x:v>Holze 2023</x:v>
      </x:c>
      <x:c r="C187" s="29" t="str">
        <x:v>placebo_inactif</x:v>
      </x:c>
      <x:c r="D187" s="29" t="str">
        <x:v>LSD</x:v>
      </x:c>
      <x:c r="E187" s="29" t="n">
        <x:v>42</x:v>
      </x:c>
      <x:c r="F187" s="29" t="str">
        <x:v>Hypercholesterinemia</x:v>
      </x:c>
      <x:c r="G187" s="29" t="str">
        <x:v>follow_up</x:v>
      </x:c>
      <x:c r="H187" s="34" t="n">
        <x:v>0</x:v>
      </x:c>
      <x:c r="I187" s="29" t="n">
        <x:v>0</x:v>
      </x:c>
      <x:c r="J187" s="36" t="n">
        <x:v>0</x:v>
      </x:c>
    </x:row>
    <x:row r="188">
      <x:c r="A188" s="28" t="str">
        <x:v>Holze2023</x:v>
      </x:c>
      <x:c r="B188" s="29" t="str">
        <x:v>Holze 2023</x:v>
      </x:c>
      <x:c r="C188" s="29" t="str">
        <x:v>lsd_200ug</x:v>
      </x:c>
      <x:c r="D188" s="29" t="str">
        <x:v>LSD</x:v>
      </x:c>
      <x:c r="E188" s="29" t="n">
        <x:v>42</x:v>
      </x:c>
      <x:c r="F188" s="29" t="str">
        <x:v>Dog bite</x:v>
      </x:c>
      <x:c r="G188" s="29" t="str">
        <x:v>session</x:v>
      </x:c>
      <x:c r="H188" s="34" t="n">
        <x:v>0.023809523809523808</x:v>
      </x:c>
      <x:c r="I188" s="29" t="n">
        <x:v>200</x:v>
      </x:c>
      <x:c r="J188" s="36" t="n">
        <x:v>1</x:v>
      </x:c>
    </x:row>
    <x:row r="189">
      <x:c r="A189" s="28" t="str">
        <x:v>Holze2023</x:v>
      </x:c>
      <x:c r="B189" s="29" t="str">
        <x:v>Holze 2023</x:v>
      </x:c>
      <x:c r="C189" s="29" t="str">
        <x:v>placebo_inactif</x:v>
      </x:c>
      <x:c r="D189" s="29" t="str">
        <x:v>LSD</x:v>
      </x:c>
      <x:c r="E189" s="29" t="n">
        <x:v>42</x:v>
      </x:c>
      <x:c r="F189" s="29" t="str">
        <x:v>Dog bite</x:v>
      </x:c>
      <x:c r="G189" s="29" t="str">
        <x:v>session</x:v>
      </x:c>
      <x:c r="H189" s="34" t="n">
        <x:v>0</x:v>
      </x:c>
      <x:c r="I189" s="29" t="n">
        <x:v>0</x:v>
      </x:c>
      <x:c r="J189" s="36" t="n">
        <x:v>0</x:v>
      </x:c>
    </x:row>
    <x:row r="190">
      <x:c r="A190" s="28" t="str">
        <x:v>Holze2023</x:v>
      </x:c>
      <x:c r="B190" s="29" t="str">
        <x:v>Holze 2023</x:v>
      </x:c>
      <x:c r="C190" s="29" t="str">
        <x:v>lsd_200ug</x:v>
      </x:c>
      <x:c r="D190" s="29" t="str">
        <x:v>LSD</x:v>
      </x:c>
      <x:c r="E190" s="29" t="n">
        <x:v>42</x:v>
      </x:c>
      <x:c r="F190" s="29" t="str">
        <x:v>Dog bite</x:v>
      </x:c>
      <x:c r="G190" s="29" t="str">
        <x:v>follow_up</x:v>
      </x:c>
      <x:c r="H190" s="34" t="n">
        <x:v>0</x:v>
      </x:c>
      <x:c r="I190" s="29" t="n">
        <x:v>200</x:v>
      </x:c>
      <x:c r="J190" s="36" t="n">
        <x:v>0</x:v>
      </x:c>
    </x:row>
    <x:row r="191">
      <x:c r="A191" s="28" t="str">
        <x:v>Holze2023</x:v>
      </x:c>
      <x:c r="B191" s="29" t="str">
        <x:v>Holze 2023</x:v>
      </x:c>
      <x:c r="C191" s="29" t="str">
        <x:v>placebo_inactif</x:v>
      </x:c>
      <x:c r="D191" s="29" t="str">
        <x:v>LSD</x:v>
      </x:c>
      <x:c r="E191" s="29" t="n">
        <x:v>42</x:v>
      </x:c>
      <x:c r="F191" s="29" t="str">
        <x:v>Dog bite</x:v>
      </x:c>
      <x:c r="G191" s="29" t="str">
        <x:v>follow_up</x:v>
      </x:c>
      <x:c r="H191" s="34" t="n">
        <x:v>0</x:v>
      </x:c>
      <x:c r="I191" s="29" t="n">
        <x:v>0</x:v>
      </x:c>
      <x:c r="J191" s="36" t="n">
        <x:v>0</x:v>
      </x:c>
    </x:row>
    <x:row r="192">
      <x:c r="A192" s="28" t="str">
        <x:v>Holze2023</x:v>
      </x:c>
      <x:c r="B192" s="29" t="str">
        <x:v>Holze 2023</x:v>
      </x:c>
      <x:c r="C192" s="29" t="str">
        <x:v>lsd_200ug</x:v>
      </x:c>
      <x:c r="D192" s="29" t="str">
        <x:v>LSD</x:v>
      </x:c>
      <x:c r="E192" s="29" t="n">
        <x:v>42</x:v>
      </x:c>
      <x:c r="F192" s="29" t="str">
        <x:v>Norovirus</x:v>
      </x:c>
      <x:c r="G192" s="29" t="str">
        <x:v>session</x:v>
      </x:c>
      <x:c r="H192" s="34" t="n">
        <x:v>0</x:v>
      </x:c>
      <x:c r="I192" s="29" t="n">
        <x:v>200</x:v>
      </x:c>
      <x:c r="J192" s="36" t="n">
        <x:v>0</x:v>
      </x:c>
    </x:row>
    <x:row r="193">
      <x:c r="A193" s="28" t="str">
        <x:v>Holze2023</x:v>
      </x:c>
      <x:c r="B193" s="29" t="str">
        <x:v>Holze 2023</x:v>
      </x:c>
      <x:c r="C193" s="29" t="str">
        <x:v>placebo_inactif</x:v>
      </x:c>
      <x:c r="D193" s="29" t="str">
        <x:v>LSD</x:v>
      </x:c>
      <x:c r="E193" s="29" t="n">
        <x:v>42</x:v>
      </x:c>
      <x:c r="F193" s="29" t="str">
        <x:v>Norovirus</x:v>
      </x:c>
      <x:c r="G193" s="29" t="str">
        <x:v>session</x:v>
      </x:c>
      <x:c r="H193" s="34" t="n">
        <x:v>0.023809523809523808</x:v>
      </x:c>
      <x:c r="I193" s="29" t="n">
        <x:v>0</x:v>
      </x:c>
      <x:c r="J193" s="36" t="n">
        <x:v>1</x:v>
      </x:c>
    </x:row>
    <x:row r="194">
      <x:c r="A194" s="28" t="str">
        <x:v>Holze2023</x:v>
      </x:c>
      <x:c r="B194" s="29" t="str">
        <x:v>Holze 2023</x:v>
      </x:c>
      <x:c r="C194" s="29" t="str">
        <x:v>lsd_200ug</x:v>
      </x:c>
      <x:c r="D194" s="29" t="str">
        <x:v>LSD</x:v>
      </x:c>
      <x:c r="E194" s="29" t="n">
        <x:v>42</x:v>
      </x:c>
      <x:c r="F194" s="29" t="str">
        <x:v>Norovirus</x:v>
      </x:c>
      <x:c r="G194" s="29" t="str">
        <x:v>follow_up</x:v>
      </x:c>
      <x:c r="H194" s="34" t="n">
        <x:v>0</x:v>
      </x:c>
      <x:c r="I194" s="29" t="n">
        <x:v>200</x:v>
      </x:c>
      <x:c r="J194" s="36" t="n">
        <x:v>0</x:v>
      </x:c>
    </x:row>
    <x:row r="195">
      <x:c r="A195" s="28" t="str">
        <x:v>Holze2023</x:v>
      </x:c>
      <x:c r="B195" s="29" t="str">
        <x:v>Holze 2023</x:v>
      </x:c>
      <x:c r="C195" s="29" t="str">
        <x:v>placebo_inactif</x:v>
      </x:c>
      <x:c r="D195" s="29" t="str">
        <x:v>LSD</x:v>
      </x:c>
      <x:c r="E195" s="29" t="n">
        <x:v>42</x:v>
      </x:c>
      <x:c r="F195" s="29" t="str">
        <x:v>Norovirus</x:v>
      </x:c>
      <x:c r="G195" s="29" t="str">
        <x:v>follow_up</x:v>
      </x:c>
      <x:c r="H195" s="34" t="n">
        <x:v>0</x:v>
      </x:c>
      <x:c r="I195" s="29" t="n">
        <x:v>0</x:v>
      </x:c>
      <x:c r="J195" s="36" t="n">
        <x:v>0</x:v>
      </x:c>
    </x:row>
    <x:row r="196">
      <x:c r="A196" s="28" t="str">
        <x:v>Holze2023</x:v>
      </x:c>
      <x:c r="B196" s="29" t="str">
        <x:v>Holze 2023</x:v>
      </x:c>
      <x:c r="C196" s="29" t="str">
        <x:v>lsd_200ug</x:v>
      </x:c>
      <x:c r="D196" s="29" t="str">
        <x:v>LSD</x:v>
      </x:c>
      <x:c r="E196" s="29" t="n">
        <x:v>42</x:v>
      </x:c>
      <x:c r="F196" s="29" t="str">
        <x:v>Swollen hand</x:v>
      </x:c>
      <x:c r="G196" s="29" t="str">
        <x:v>session</x:v>
      </x:c>
      <x:c r="H196" s="34" t="n">
        <x:v>0</x:v>
      </x:c>
      <x:c r="I196" s="29" t="n">
        <x:v>200</x:v>
      </x:c>
      <x:c r="J196" s="36" t="n">
        <x:v>0</x:v>
      </x:c>
    </x:row>
    <x:row r="197">
      <x:c r="A197" s="28" t="str">
        <x:v>Holze2023</x:v>
      </x:c>
      <x:c r="B197" s="29" t="str">
        <x:v>Holze 2023</x:v>
      </x:c>
      <x:c r="C197" s="29" t="str">
        <x:v>placebo_inactif</x:v>
      </x:c>
      <x:c r="D197" s="29" t="str">
        <x:v>LSD</x:v>
      </x:c>
      <x:c r="E197" s="29" t="n">
        <x:v>42</x:v>
      </x:c>
      <x:c r="F197" s="29" t="str">
        <x:v>Swollen hand</x:v>
      </x:c>
      <x:c r="G197" s="29" t="str">
        <x:v>session</x:v>
      </x:c>
      <x:c r="H197" s="34" t="n">
        <x:v>0.023809523809523808</x:v>
      </x:c>
      <x:c r="I197" s="29" t="n">
        <x:v>0</x:v>
      </x:c>
      <x:c r="J197" s="36" t="n">
        <x:v>1</x:v>
      </x:c>
    </x:row>
    <x:row r="198">
      <x:c r="A198" s="28" t="str">
        <x:v>Holze2023</x:v>
      </x:c>
      <x:c r="B198" s="29" t="str">
        <x:v>Holze 2023</x:v>
      </x:c>
      <x:c r="C198" s="29" t="str">
        <x:v>lsd_200ug</x:v>
      </x:c>
      <x:c r="D198" s="29" t="str">
        <x:v>LSD</x:v>
      </x:c>
      <x:c r="E198" s="29" t="n">
        <x:v>42</x:v>
      </x:c>
      <x:c r="F198" s="29" t="str">
        <x:v>Swollen hand</x:v>
      </x:c>
      <x:c r="G198" s="29" t="str">
        <x:v>follow_up</x:v>
      </x:c>
      <x:c r="H198" s="34" t="n">
        <x:v>0</x:v>
      </x:c>
      <x:c r="I198" s="29" t="n">
        <x:v>200</x:v>
      </x:c>
      <x:c r="J198" s="36" t="n">
        <x:v>0</x:v>
      </x:c>
    </x:row>
    <x:row r="199">
      <x:c r="A199" s="28" t="str">
        <x:v>Holze2023</x:v>
      </x:c>
      <x:c r="B199" s="29" t="str">
        <x:v>Holze 2023</x:v>
      </x:c>
      <x:c r="C199" s="29" t="str">
        <x:v>placebo_inactif</x:v>
      </x:c>
      <x:c r="D199" s="29" t="str">
        <x:v>LSD</x:v>
      </x:c>
      <x:c r="E199" s="29" t="n">
        <x:v>42</x:v>
      </x:c>
      <x:c r="F199" s="29" t="str">
        <x:v>Swollen hand</x:v>
      </x:c>
      <x:c r="G199" s="29" t="str">
        <x:v>follow_up</x:v>
      </x:c>
      <x:c r="H199" s="34" t="n">
        <x:v>0</x:v>
      </x:c>
      <x:c r="I199" s="29" t="n">
        <x:v>0</x:v>
      </x:c>
      <x:c r="J199" s="36" t="n">
        <x:v>0</x:v>
      </x:c>
    </x:row>
    <x:row r="200">
      <x:c r="A200" s="28" t="str">
        <x:v>Holze2023</x:v>
      </x:c>
      <x:c r="B200" s="29" t="str">
        <x:v>Holze 2023</x:v>
      </x:c>
      <x:c r="C200" s="29" t="str">
        <x:v>lsd_200ug</x:v>
      </x:c>
      <x:c r="D200" s="29" t="str">
        <x:v>LSD</x:v>
      </x:c>
      <x:c r="E200" s="29" t="n">
        <x:v>42</x:v>
      </x:c>
      <x:c r="F200" s="29" t="str">
        <x:v>Asthma bronchiale</x:v>
      </x:c>
      <x:c r="G200" s="29" t="str">
        <x:v>session</x:v>
      </x:c>
      <x:c r="H200" s="34" t="n">
        <x:v>0</x:v>
      </x:c>
      <x:c r="I200" s="29" t="n">
        <x:v>200</x:v>
      </x:c>
      <x:c r="J200" s="36" t="n">
        <x:v>0</x:v>
      </x:c>
    </x:row>
    <x:row r="201">
      <x:c r="A201" s="28" t="str">
        <x:v>Holze2023</x:v>
      </x:c>
      <x:c r="B201" s="29" t="str">
        <x:v>Holze 2023</x:v>
      </x:c>
      <x:c r="C201" s="29" t="str">
        <x:v>placebo_inactif</x:v>
      </x:c>
      <x:c r="D201" s="29" t="str">
        <x:v>LSD</x:v>
      </x:c>
      <x:c r="E201" s="29" t="n">
        <x:v>42</x:v>
      </x:c>
      <x:c r="F201" s="29" t="str">
        <x:v>Asthma bronchiale</x:v>
      </x:c>
      <x:c r="G201" s="29" t="str">
        <x:v>session</x:v>
      </x:c>
      <x:c r="H201" s="34" t="n">
        <x:v>0.023809523809523808</x:v>
      </x:c>
      <x:c r="I201" s="29" t="n">
        <x:v>0</x:v>
      </x:c>
      <x:c r="J201" s="36" t="n">
        <x:v>1</x:v>
      </x:c>
    </x:row>
    <x:row r="202">
      <x:c r="A202" s="28" t="str">
        <x:v>Holze2023</x:v>
      </x:c>
      <x:c r="B202" s="29" t="str">
        <x:v>Holze 2023</x:v>
      </x:c>
      <x:c r="C202" s="29" t="str">
        <x:v>lsd_200ug</x:v>
      </x:c>
      <x:c r="D202" s="29" t="str">
        <x:v>LSD</x:v>
      </x:c>
      <x:c r="E202" s="29" t="n">
        <x:v>42</x:v>
      </x:c>
      <x:c r="F202" s="29" t="str">
        <x:v>Asthma bronchiale</x:v>
      </x:c>
      <x:c r="G202" s="29" t="str">
        <x:v>follow_up</x:v>
      </x:c>
      <x:c r="H202" s="34" t="n">
        <x:v>0</x:v>
      </x:c>
      <x:c r="I202" s="29" t="n">
        <x:v>200</x:v>
      </x:c>
      <x:c r="J202" s="36" t="n">
        <x:v>0</x:v>
      </x:c>
    </x:row>
    <x:row r="203">
      <x:c r="A203" s="28" t="str">
        <x:v>Holze2023</x:v>
      </x:c>
      <x:c r="B203" s="29" t="str">
        <x:v>Holze 2023</x:v>
      </x:c>
      <x:c r="C203" s="29" t="str">
        <x:v>placebo_inactif</x:v>
      </x:c>
      <x:c r="D203" s="29" t="str">
        <x:v>LSD</x:v>
      </x:c>
      <x:c r="E203" s="29" t="n">
        <x:v>42</x:v>
      </x:c>
      <x:c r="F203" s="29" t="str">
        <x:v>Asthma bronchiale</x:v>
      </x:c>
      <x:c r="G203" s="29" t="str">
        <x:v>follow_up</x:v>
      </x:c>
      <x:c r="H203" s="34" t="n">
        <x:v>0</x:v>
      </x:c>
      <x:c r="I203" s="29" t="n">
        <x:v>0</x:v>
      </x:c>
      <x:c r="J203" s="36" t="n">
        <x:v>0</x:v>
      </x:c>
    </x:row>
    <x:row r="204">
      <x:c r="A204" s="28" t="str">
        <x:v>Holze2023</x:v>
      </x:c>
      <x:c r="B204" s="29" t="str">
        <x:v>Holze 2023</x:v>
      </x:c>
      <x:c r="C204" s="29" t="str">
        <x:v>lsd_200ug</x:v>
      </x:c>
      <x:c r="D204" s="29" t="str">
        <x:v>LSD</x:v>
      </x:c>
      <x:c r="E204" s="29" t="n">
        <x:v>42</x:v>
      </x:c>
      <x:c r="F204" s="29" t="str">
        <x:v>Vitamin B12 deficiency</x:v>
      </x:c>
      <x:c r="G204" s="29" t="str">
        <x:v>session</x:v>
      </x:c>
      <x:c r="H204" s="34" t="n">
        <x:v>0.023809523809523808</x:v>
      </x:c>
      <x:c r="I204" s="29" t="n">
        <x:v>200</x:v>
      </x:c>
      <x:c r="J204" s="36" t="n">
        <x:v>1</x:v>
      </x:c>
    </x:row>
    <x:row r="205">
      <x:c r="A205" s="28" t="str">
        <x:v>Holze2023</x:v>
      </x:c>
      <x:c r="B205" s="29" t="str">
        <x:v>Holze 2023</x:v>
      </x:c>
      <x:c r="C205" s="29" t="str">
        <x:v>placebo_inactif</x:v>
      </x:c>
      <x:c r="D205" s="29" t="str">
        <x:v>LSD</x:v>
      </x:c>
      <x:c r="E205" s="29" t="n">
        <x:v>42</x:v>
      </x:c>
      <x:c r="F205" s="29" t="str">
        <x:v>Vitamin B12 deficiency</x:v>
      </x:c>
      <x:c r="G205" s="29" t="str">
        <x:v>session</x:v>
      </x:c>
      <x:c r="H205" s="34" t="n">
        <x:v>0</x:v>
      </x:c>
      <x:c r="I205" s="29" t="n">
        <x:v>0</x:v>
      </x:c>
      <x:c r="J205" s="36" t="n">
        <x:v>0</x:v>
      </x:c>
    </x:row>
    <x:row r="206">
      <x:c r="A206" s="28" t="str">
        <x:v>Holze2023</x:v>
      </x:c>
      <x:c r="B206" s="29" t="str">
        <x:v>Holze 2023</x:v>
      </x:c>
      <x:c r="C206" s="29" t="str">
        <x:v>lsd_200ug</x:v>
      </x:c>
      <x:c r="D206" s="29" t="str">
        <x:v>LSD</x:v>
      </x:c>
      <x:c r="E206" s="29" t="n">
        <x:v>42</x:v>
      </x:c>
      <x:c r="F206" s="29" t="str">
        <x:v>Vitamin B12 deficiency</x:v>
      </x:c>
      <x:c r="G206" s="29" t="str">
        <x:v>follow_up</x:v>
      </x:c>
      <x:c r="H206" s="34" t="n">
        <x:v>0</x:v>
      </x:c>
      <x:c r="I206" s="29" t="n">
        <x:v>200</x:v>
      </x:c>
      <x:c r="J206" s="36" t="n">
        <x:v>0</x:v>
      </x:c>
    </x:row>
    <x:row r="207">
      <x:c r="A207" s="28" t="str">
        <x:v>Holze2023</x:v>
      </x:c>
      <x:c r="B207" s="29" t="str">
        <x:v>Holze 2023</x:v>
      </x:c>
      <x:c r="C207" s="29" t="str">
        <x:v>placebo_inactif</x:v>
      </x:c>
      <x:c r="D207" s="29" t="str">
        <x:v>LSD</x:v>
      </x:c>
      <x:c r="E207" s="29" t="n">
        <x:v>42</x:v>
      </x:c>
      <x:c r="F207" s="29" t="str">
        <x:v>Vitamin B12 deficiency</x:v>
      </x:c>
      <x:c r="G207" s="29" t="str">
        <x:v>follow_up</x:v>
      </x:c>
      <x:c r="H207" s="34" t="n">
        <x:v>0</x:v>
      </x:c>
      <x:c r="I207" s="29" t="n">
        <x:v>0</x:v>
      </x:c>
      <x:c r="J207" s="36" t="n">
        <x:v>0</x:v>
      </x:c>
    </x:row>
    <x:row r="208">
      <x:c r="A208" s="28" t="str">
        <x:v>Holze2023</x:v>
      </x:c>
      <x:c r="B208" s="29" t="str">
        <x:v>Holze 2023</x:v>
      </x:c>
      <x:c r="C208" s="29" t="str">
        <x:v>lsd_200ug</x:v>
      </x:c>
      <x:c r="D208" s="29" t="str">
        <x:v>LSD</x:v>
      </x:c>
      <x:c r="E208" s="29" t="n">
        <x:v>42</x:v>
      </x:c>
      <x:c r="F208" s="29" t="str">
        <x:v>Sore throat</x:v>
      </x:c>
      <x:c r="G208" s="29" t="str">
        <x:v>session</x:v>
      </x:c>
      <x:c r="H208" s="34" t="n">
        <x:v>0.023809523809523808</x:v>
      </x:c>
      <x:c r="I208" s="29" t="n">
        <x:v>200</x:v>
      </x:c>
      <x:c r="J208" s="36" t="n">
        <x:v>1</x:v>
      </x:c>
    </x:row>
    <x:row r="209">
      <x:c r="A209" s="28" t="str">
        <x:v>Holze2023</x:v>
      </x:c>
      <x:c r="B209" s="29" t="str">
        <x:v>Holze 2023</x:v>
      </x:c>
      <x:c r="C209" s="29" t="str">
        <x:v>placebo_inactif</x:v>
      </x:c>
      <x:c r="D209" s="29" t="str">
        <x:v>LSD</x:v>
      </x:c>
      <x:c r="E209" s="29" t="n">
        <x:v>42</x:v>
      </x:c>
      <x:c r="F209" s="29" t="str">
        <x:v>Sore throat</x:v>
      </x:c>
      <x:c r="G209" s="29" t="str">
        <x:v>session</x:v>
      </x:c>
      <x:c r="H209" s="34" t="n">
        <x:v>0</x:v>
      </x:c>
      <x:c r="I209" s="29" t="n">
        <x:v>0</x:v>
      </x:c>
      <x:c r="J209" s="36" t="n">
        <x:v>0</x:v>
      </x:c>
    </x:row>
    <x:row r="210">
      <x:c r="A210" s="28" t="str">
        <x:v>Holze2023</x:v>
      </x:c>
      <x:c r="B210" s="29" t="str">
        <x:v>Holze 2023</x:v>
      </x:c>
      <x:c r="C210" s="29" t="str">
        <x:v>lsd_200ug</x:v>
      </x:c>
      <x:c r="D210" s="29" t="str">
        <x:v>LSD</x:v>
      </x:c>
      <x:c r="E210" s="29" t="n">
        <x:v>42</x:v>
      </x:c>
      <x:c r="F210" s="29" t="str">
        <x:v>Sore throat</x:v>
      </x:c>
      <x:c r="G210" s="29" t="str">
        <x:v>follow_up</x:v>
      </x:c>
      <x:c r="H210" s="34" t="n">
        <x:v>0</x:v>
      </x:c>
      <x:c r="I210" s="29" t="n">
        <x:v>200</x:v>
      </x:c>
      <x:c r="J210" s="36" t="n">
        <x:v>0</x:v>
      </x:c>
    </x:row>
    <x:row r="211">
      <x:c r="A211" s="28" t="str">
        <x:v>Holze2023</x:v>
      </x:c>
      <x:c r="B211" s="29" t="str">
        <x:v>Holze 2023</x:v>
      </x:c>
      <x:c r="C211" s="29" t="str">
        <x:v>placebo_inactif</x:v>
      </x:c>
      <x:c r="D211" s="29" t="str">
        <x:v>LSD</x:v>
      </x:c>
      <x:c r="E211" s="29" t="n">
        <x:v>42</x:v>
      </x:c>
      <x:c r="F211" s="29" t="str">
        <x:v>Sore throat</x:v>
      </x:c>
      <x:c r="G211" s="29" t="str">
        <x:v>follow_up</x:v>
      </x:c>
      <x:c r="H211" s="34" t="n">
        <x:v>0</x:v>
      </x:c>
      <x:c r="I211" s="29" t="n">
        <x:v>0</x:v>
      </x:c>
      <x:c r="J211" s="36" t="n">
        <x:v>0</x:v>
      </x:c>
    </x:row>
    <x:row r="212">
      <x:c r="A212" s="28" t="str">
        <x:v>Holze2023</x:v>
      </x:c>
      <x:c r="B212" s="29" t="str">
        <x:v>Holze 2023</x:v>
      </x:c>
      <x:c r="C212" s="29" t="str">
        <x:v>lsd_200ug</x:v>
      </x:c>
      <x:c r="D212" s="29" t="str">
        <x:v>LSD</x:v>
      </x:c>
      <x:c r="E212" s="29" t="n">
        <x:v>42</x:v>
      </x:c>
      <x:c r="F212" s="29" t="str">
        <x:v>Muscular complaints (thorax)</x:v>
      </x:c>
      <x:c r="G212" s="29" t="str">
        <x:v>session</x:v>
      </x:c>
      <x:c r="H212" s="34" t="n">
        <x:v>0</x:v>
      </x:c>
      <x:c r="I212" s="29" t="n">
        <x:v>200</x:v>
      </x:c>
      <x:c r="J212" s="36" t="n">
        <x:v>0</x:v>
      </x:c>
    </x:row>
    <x:row r="213">
      <x:c r="A213" s="28" t="str">
        <x:v>Holze2023</x:v>
      </x:c>
      <x:c r="B213" s="29" t="str">
        <x:v>Holze 2023</x:v>
      </x:c>
      <x:c r="C213" s="29" t="str">
        <x:v>placebo_inactif</x:v>
      </x:c>
      <x:c r="D213" s="29" t="str">
        <x:v>LSD</x:v>
      </x:c>
      <x:c r="E213" s="29" t="n">
        <x:v>42</x:v>
      </x:c>
      <x:c r="F213" s="29" t="str">
        <x:v>Muscular complaints (thorax)</x:v>
      </x:c>
      <x:c r="G213" s="29" t="str">
        <x:v>session</x:v>
      </x:c>
      <x:c r="H213" s="34" t="n">
        <x:v>0.023809523809523808</x:v>
      </x:c>
      <x:c r="I213" s="29" t="n">
        <x:v>0</x:v>
      </x:c>
      <x:c r="J213" s="36" t="n">
        <x:v>1</x:v>
      </x:c>
    </x:row>
    <x:row r="214">
      <x:c r="A214" s="28" t="str">
        <x:v>Holze2023</x:v>
      </x:c>
      <x:c r="B214" s="29" t="str">
        <x:v>Holze 2023</x:v>
      </x:c>
      <x:c r="C214" s="29" t="str">
        <x:v>lsd_200ug</x:v>
      </x:c>
      <x:c r="D214" s="29" t="str">
        <x:v>LSD</x:v>
      </x:c>
      <x:c r="E214" s="29" t="n">
        <x:v>42</x:v>
      </x:c>
      <x:c r="F214" s="29" t="str">
        <x:v>Muscular complaints (thorax)</x:v>
      </x:c>
      <x:c r="G214" s="29" t="str">
        <x:v>follow_up</x:v>
      </x:c>
      <x:c r="H214" s="34" t="n">
        <x:v>0</x:v>
      </x:c>
      <x:c r="I214" s="29" t="n">
        <x:v>200</x:v>
      </x:c>
      <x:c r="J214" s="36" t="n">
        <x:v>0</x:v>
      </x:c>
    </x:row>
    <x:row r="215">
      <x:c r="A215" s="28" t="str">
        <x:v>Holze2023</x:v>
      </x:c>
      <x:c r="B215" s="29" t="str">
        <x:v>Holze 2023</x:v>
      </x:c>
      <x:c r="C215" s="29" t="str">
        <x:v>placebo_inactif</x:v>
      </x:c>
      <x:c r="D215" s="29" t="str">
        <x:v>LSD</x:v>
      </x:c>
      <x:c r="E215" s="29" t="n">
        <x:v>42</x:v>
      </x:c>
      <x:c r="F215" s="29" t="str">
        <x:v>Muscular complaints (thorax)</x:v>
      </x:c>
      <x:c r="G215" s="29" t="str">
        <x:v>follow_up</x:v>
      </x:c>
      <x:c r="H215" s="34" t="n">
        <x:v>0</x:v>
      </x:c>
      <x:c r="I215" s="29" t="n">
        <x:v>0</x:v>
      </x:c>
      <x:c r="J215" s="36" t="n">
        <x:v>0</x:v>
      </x:c>
    </x:row>
    <x:row r="216">
      <x:c r="A216" s="28" t="str">
        <x:v>Holze2023</x:v>
      </x:c>
      <x:c r="B216" s="29" t="str">
        <x:v>Holze 2023</x:v>
      </x:c>
      <x:c r="C216" s="29" t="str">
        <x:v>lsd_200ug</x:v>
      </x:c>
      <x:c r="D216" s="29" t="str">
        <x:v>LSD</x:v>
      </x:c>
      <x:c r="E216" s="29" t="n">
        <x:v>42</x:v>
      </x:c>
      <x:c r="F216" s="29" t="str">
        <x:v>Loss of appetite</x:v>
      </x:c>
      <x:c r="G216" s="29" t="str">
        <x:v>session</x:v>
      </x:c>
      <x:c r="H216" s="34" t="n">
        <x:v>0</x:v>
      </x:c>
      <x:c r="I216" s="29" t="n">
        <x:v>200</x:v>
      </x:c>
      <x:c r="J216" s="36" t="n">
        <x:v>0</x:v>
      </x:c>
    </x:row>
    <x:row r="217">
      <x:c r="A217" s="28" t="str">
        <x:v>Holze2023</x:v>
      </x:c>
      <x:c r="B217" s="29" t="str">
        <x:v>Holze 2023</x:v>
      </x:c>
      <x:c r="C217" s="29" t="str">
        <x:v>placebo_inactif</x:v>
      </x:c>
      <x:c r="D217" s="29" t="str">
        <x:v>LSD</x:v>
      </x:c>
      <x:c r="E217" s="29" t="n">
        <x:v>42</x:v>
      </x:c>
      <x:c r="F217" s="29" t="str">
        <x:v>Loss of appetite</x:v>
      </x:c>
      <x:c r="G217" s="29" t="str">
        <x:v>session</x:v>
      </x:c>
      <x:c r="H217" s="34" t="n">
        <x:v>0</x:v>
      </x:c>
      <x:c r="I217" s="29" t="n">
        <x:v>0</x:v>
      </x:c>
      <x:c r="J217" s="36" t="n">
        <x:v>0</x:v>
      </x:c>
    </x:row>
    <x:row r="218">
      <x:c r="A218" s="28" t="str">
        <x:v>Holze2023</x:v>
      </x:c>
      <x:c r="B218" s="29" t="str">
        <x:v>Holze 2023</x:v>
      </x:c>
      <x:c r="C218" s="29" t="str">
        <x:v>lsd_200ug</x:v>
      </x:c>
      <x:c r="D218" s="29" t="str">
        <x:v>LSD</x:v>
      </x:c>
      <x:c r="E218" s="29" t="n">
        <x:v>42</x:v>
      </x:c>
      <x:c r="F218" s="29" t="str">
        <x:v>Loss of appetite</x:v>
      </x:c>
      <x:c r="G218" s="29" t="str">
        <x:v>follow_up</x:v>
      </x:c>
      <x:c r="H218" s="34" t="n">
        <x:v>0</x:v>
      </x:c>
      <x:c r="I218" s="29" t="n">
        <x:v>200</x:v>
      </x:c>
      <x:c r="J218" s="36" t="n">
        <x:v>0</x:v>
      </x:c>
    </x:row>
    <x:row r="219">
      <x:c r="A219" s="31" t="str">
        <x:v>Holze2023</x:v>
      </x:c>
      <x:c r="B219" s="32" t="str">
        <x:v>Holze 2023</x:v>
      </x:c>
      <x:c r="C219" s="32" t="str">
        <x:v>placebo_inactif</x:v>
      </x:c>
      <x:c r="D219" s="32" t="str">
        <x:v>LSD</x:v>
      </x:c>
      <x:c r="E219" s="32" t="n">
        <x:v>42</x:v>
      </x:c>
      <x:c r="F219" s="32" t="str">
        <x:v>Loss of appetite</x:v>
      </x:c>
      <x:c r="G219" s="32" t="str">
        <x:v>follow_up</x:v>
      </x:c>
      <x:c r="H219" s="35" t="n">
        <x:v>0.023809523809523808</x:v>
      </x:c>
      <x:c r="I219" s="32" t="n">
        <x:v>0</x:v>
      </x:c>
      <x:c r="J219" s="37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.989999771118164" hidden="0" customWidth="1"/>
    <x:col min="2" max="2" width="186.00999450683594" hidden="0" customWidth="1"/>
    <x:col min="3" max="3" width="7.849999904632568" hidden="0" customWidth="1"/>
    <x:col min="4" max="4" width="6.630000114440918" hidden="0" customWidth="1"/>
  </x:cols>
  <x:sheetData>
    <x:row r="1">
      <x:c r="A1" s="4" t="str">
        <x:v>Validation checks</x:v>
      </x:c>
      <x:c r="B1" s="4"/>
      <x:c r="C1" s="4"/>
      <x:c r="D1" s="4"/>
    </x:row>
    <x:row r="3">
      <x:c r="A3" s="19" t="str">
        <x:v>check</x:v>
      </x:c>
      <x:c r="B3" s="20" t="str">
        <x:v>value</x:v>
      </x:c>
      <x:c r="C3" s="20" t="str">
        <x:v>expected</x:v>
      </x:c>
      <x:c r="D3" s="21" t="str">
        <x:v>status</x:v>
      </x:c>
    </x:row>
    <x:row r="4">
      <x:c r="A4" s="28" t="str">
        <x:v>raw_rows_transcribed</x:v>
      </x:c>
      <x:c r="B4" s="29" t="n">
        <x:v>54</x:v>
      </x:c>
      <x:c r="C4" s="29" t="n">
        <x:v>54</x:v>
      </x:c>
      <x:c r="D4" s="30" t="str">
        <x:v>OK</x:v>
      </x:c>
    </x:row>
    <x:row r="5">
      <x:c r="A5" s="28" t="str">
        <x:v>data_rows_created</x:v>
      </x:c>
      <x:c r="B5" s="29" t="n">
        <x:v>216</x:v>
      </x:c>
      <x:c r="C5" s="29" t="n">
        <x:v>216</x:v>
      </x:c>
      <x:c r="D5" s="30" t="str">
        <x:v>OK</x:v>
      </x:c>
    </x:row>
    <x:row r="6">
      <x:c r="A6" s="28" t="str">
        <x:v>nonzero_lsd_session_events</x:v>
      </x:c>
      <x:c r="B6" s="29" t="n">
        <x:v>26</x:v>
      </x:c>
      <x:c r="C6" s="29" t="str"/>
      <x:c r="D6" s="30" t="str">
        <x:v>INFO</x:v>
      </x:c>
    </x:row>
    <x:row r="7">
      <x:c r="A7" s="28" t="str">
        <x:v>nonzero_placebo_session_events</x:v>
      </x:c>
      <x:c r="B7" s="29" t="n">
        <x:v>28</x:v>
      </x:c>
      <x:c r="C7" s="29" t="str"/>
      <x:c r="D7" s="30" t="str">
        <x:v>INFO</x:v>
      </x:c>
    </x:row>
    <x:row r="8">
      <x:c r="A8" s="31" t="str">
        <x:v>reported_total_check_zero_rows</x:v>
      </x:c>
      <x:c r="B8" s="32" t="n">
        <x:v>53</x:v>
      </x:c>
      <x:c r="C8" s="32" t="n">
        <x:v>54</x:v>
      </x:c>
      <x:c r="D8" s="33" t="str">
        <x:v>REVIEW</x:v>
      </x:c>
    </x:row>
    <x:row r="10">
      <x:c r="A10" t="str">
        <x:v>source discrepancy note</x:v>
      </x:c>
      <x:c r="B10" t="str">
        <x:v>The Nausea row in the screenshot appears to sum to 20 across period/group Total cells, while the reported Total (n) column shows 19. The raw transcription preserves the visible period/group cells and flags the total check for review.</x:v>
      </x:c>
    </x:row>
    <x:row r="11">
      <x:c r="A11" t="str">
        <x:v>next action</x:v>
      </x:c>
      <x:c r="B11" t="str">
        <x:v>If you confirm the intended Nausea source value, update Raw_table_S8 and the derived/data sheets will be easy to refresh.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92.63999938964844" hidden="0" customWidth="1"/>
  </x:cols>
  <x:sheetData>
    <x:row r="1">
      <x:c r="A1" s="4" t="str">
        <x:v>Interpretation and assumptions</x:v>
      </x:c>
      <x:c r="B1" s="38"/>
    </x:row>
    <x:row r="3">
      <x:c r="A3" s="19" t="str">
        <x:v>Study</x:v>
      </x:c>
      <x:c r="B3" s="21" t="str">
        <x:v>Holze 2023</x:v>
      </x:c>
    </x:row>
    <x:row r="4">
      <x:c r="A4" s="28" t="str">
        <x:v>Design</x:v>
      </x:c>
      <x:c r="B4" s="30" t="str">
        <x:v>Cross-over, period 1 and period 2</x:v>
      </x:c>
    </x:row>
    <x:row r="5">
      <x:c r="A5" s="28" t="str">
        <x:v>Active arm</x:v>
      </x:c>
      <x:c r="B5" s="30" t="str">
        <x:v>LSD 200 ug, encoded as arm_id=lsd_200ug, dose_mg=200</x:v>
      </x:c>
    </x:row>
    <x:row r="6">
      <x:c r="A6" s="28" t="str">
        <x:v>Control arm</x:v>
      </x:c>
      <x:c r="B6" s="30" t="str">
        <x:v>Inactive placebo, encoded as arm_id=placebo_inactif, dose_mg=0</x:v>
      </x:c>
    </x:row>
    <x:row r="7">
      <x:c r="A7" s="28" t="str">
        <x:v>Session event formula, LSD</x:v>
      </x:c>
      <x:c r="B7" s="30" t="str">
        <x:v>P1 LSD (Total - Between - W2) + P2 LSD (Total - Between - W2)</x:v>
      </x:c>
    </x:row>
    <x:row r="8">
      <x:c r="A8" s="28" t="str">
        <x:v>Session event formula, placebo</x:v>
      </x:c>
      <x:c r="B8" s="30" t="str">
        <x:v>P1 Placebo (Total - Between - W2) + P2 Placebo (Total - Between - W2)</x:v>
      </x:c>
    </x:row>
    <x:row r="9">
      <x:c r="A9" s="31" t="str">
        <x:v>Follow-up event formula, LSD</x:v>
      </x:c>
      <x:c r="B9" s="33" t="str">
        <x:v>P1 LSD (Between + W2) + P2 LSD (Between + W2)</x:v>
      </x:c>
    </x:row>
    <x:row r="10">
      <x:c r="A10" t="str">
        <x:v>Follow-up event formula, placebo</x:v>
      </x:c>
      <x:c r="B10" t="str">
        <x:v>P1 Placebo (Between + W2) + P2 Placebo (Between + W2)</x:v>
      </x:c>
    </x:row>
    <x:row r="11">
      <x:c r="A11" t="str">
        <x:v>N</x:v>
      </x:c>
      <x:c r="B11" t="str">
        <x:v>42 for LSD and 42 for placebo because this is a cross-over and each participant contributes to both conditions.</x:v>
      </x:c>
    </x:row>
  </x:sheetData>
  <x:pageMargins left="0.7" right="0.7" top="0.75" bottom="0.75" header="0.3" footer="0.3"/>
</x:worksheet>
</file>